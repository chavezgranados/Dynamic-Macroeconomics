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B08F0AB-0703-405E-935E-03D9482B88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libration" sheetId="1" r:id="rId1"/>
    <sheet name="shock1" sheetId="3" r:id="rId2"/>
    <sheet name="shock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6" i="4" l="1"/>
  <c r="D34" i="3"/>
  <c r="C34" i="3"/>
  <c r="D34" i="4"/>
  <c r="A17" i="4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B16" i="4"/>
  <c r="F4" i="4"/>
  <c r="C10" i="4" s="1"/>
  <c r="B41" i="3"/>
  <c r="D35" i="3"/>
  <c r="D17" i="1"/>
  <c r="D16" i="1"/>
  <c r="F17" i="1"/>
  <c r="F16" i="1"/>
  <c r="A18" i="3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17" i="3"/>
  <c r="B16" i="3"/>
  <c r="C10" i="3"/>
  <c r="F4" i="3"/>
  <c r="B16" i="1"/>
  <c r="A18" i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17" i="1"/>
  <c r="C10" i="1"/>
  <c r="F4" i="1"/>
  <c r="F6" i="4" l="1"/>
  <c r="F5" i="4"/>
  <c r="F6" i="3"/>
  <c r="F5" i="3"/>
  <c r="F5" i="1"/>
  <c r="F6" i="1"/>
  <c r="F21" i="4" l="1"/>
  <c r="F30" i="4" s="1"/>
  <c r="F39" i="4" s="1"/>
  <c r="F48" i="4" s="1"/>
  <c r="F57" i="4" s="1"/>
  <c r="F66" i="4" s="1"/>
  <c r="F75" i="4" s="1"/>
  <c r="F84" i="4" s="1"/>
  <c r="F19" i="4"/>
  <c r="F28" i="4" s="1"/>
  <c r="F37" i="4" s="1"/>
  <c r="F46" i="4" s="1"/>
  <c r="F55" i="4" s="1"/>
  <c r="F64" i="4" s="1"/>
  <c r="F73" i="4" s="1"/>
  <c r="F82" i="4" s="1"/>
  <c r="F16" i="4"/>
  <c r="F18" i="4"/>
  <c r="F27" i="4" s="1"/>
  <c r="F36" i="4" s="1"/>
  <c r="F45" i="4" s="1"/>
  <c r="F54" i="4" s="1"/>
  <c r="F63" i="4" s="1"/>
  <c r="F72" i="4" s="1"/>
  <c r="F81" i="4" s="1"/>
  <c r="F90" i="4" s="1"/>
  <c r="F17" i="4"/>
  <c r="F26" i="4" s="1"/>
  <c r="F35" i="4" s="1"/>
  <c r="F44" i="4" s="1"/>
  <c r="F53" i="4" s="1"/>
  <c r="F62" i="4" s="1"/>
  <c r="F71" i="4" s="1"/>
  <c r="F80" i="4" s="1"/>
  <c r="F89" i="4" s="1"/>
  <c r="F7" i="4"/>
  <c r="F24" i="4"/>
  <c r="F33" i="4" s="1"/>
  <c r="F42" i="4" s="1"/>
  <c r="F51" i="4" s="1"/>
  <c r="F60" i="4" s="1"/>
  <c r="F69" i="4" s="1"/>
  <c r="F78" i="4" s="1"/>
  <c r="F87" i="4" s="1"/>
  <c r="F23" i="4"/>
  <c r="F32" i="4" s="1"/>
  <c r="F41" i="4" s="1"/>
  <c r="F50" i="4" s="1"/>
  <c r="F59" i="4" s="1"/>
  <c r="F68" i="4" s="1"/>
  <c r="F77" i="4" s="1"/>
  <c r="F86" i="4" s="1"/>
  <c r="F22" i="4"/>
  <c r="F31" i="4" s="1"/>
  <c r="F40" i="4" s="1"/>
  <c r="F49" i="4" s="1"/>
  <c r="F58" i="4" s="1"/>
  <c r="F67" i="4" s="1"/>
  <c r="F76" i="4" s="1"/>
  <c r="F85" i="4" s="1"/>
  <c r="F20" i="4"/>
  <c r="F29" i="4" s="1"/>
  <c r="F38" i="4" s="1"/>
  <c r="F47" i="4" s="1"/>
  <c r="F56" i="4" s="1"/>
  <c r="F65" i="4" s="1"/>
  <c r="F74" i="4" s="1"/>
  <c r="F83" i="4" s="1"/>
  <c r="F16" i="3"/>
  <c r="D16" i="3" s="1"/>
  <c r="F24" i="3"/>
  <c r="F33" i="3" s="1"/>
  <c r="F42" i="3" s="1"/>
  <c r="F51" i="3" s="1"/>
  <c r="F60" i="3" s="1"/>
  <c r="F69" i="3" s="1"/>
  <c r="F78" i="3" s="1"/>
  <c r="F87" i="3" s="1"/>
  <c r="F23" i="3"/>
  <c r="F32" i="3" s="1"/>
  <c r="F41" i="3" s="1"/>
  <c r="F50" i="3" s="1"/>
  <c r="F59" i="3" s="1"/>
  <c r="F68" i="3" s="1"/>
  <c r="F77" i="3" s="1"/>
  <c r="F86" i="3" s="1"/>
  <c r="F22" i="3"/>
  <c r="F31" i="3" s="1"/>
  <c r="F40" i="3" s="1"/>
  <c r="F49" i="3" s="1"/>
  <c r="F58" i="3" s="1"/>
  <c r="F67" i="3" s="1"/>
  <c r="F76" i="3" s="1"/>
  <c r="F85" i="3" s="1"/>
  <c r="F21" i="3"/>
  <c r="F30" i="3" s="1"/>
  <c r="F39" i="3" s="1"/>
  <c r="F48" i="3" s="1"/>
  <c r="F57" i="3" s="1"/>
  <c r="F66" i="3" s="1"/>
  <c r="F75" i="3" s="1"/>
  <c r="F84" i="3" s="1"/>
  <c r="F20" i="3"/>
  <c r="F29" i="3" s="1"/>
  <c r="F38" i="3" s="1"/>
  <c r="F47" i="3" s="1"/>
  <c r="F56" i="3" s="1"/>
  <c r="F65" i="3" s="1"/>
  <c r="F74" i="3" s="1"/>
  <c r="F83" i="3" s="1"/>
  <c r="F17" i="3"/>
  <c r="F26" i="3" s="1"/>
  <c r="F35" i="3" s="1"/>
  <c r="F44" i="3" s="1"/>
  <c r="F53" i="3" s="1"/>
  <c r="F62" i="3" s="1"/>
  <c r="F71" i="3" s="1"/>
  <c r="F80" i="3" s="1"/>
  <c r="F89" i="3" s="1"/>
  <c r="F19" i="3"/>
  <c r="F28" i="3" s="1"/>
  <c r="F37" i="3" s="1"/>
  <c r="F46" i="3" s="1"/>
  <c r="F55" i="3" s="1"/>
  <c r="F64" i="3" s="1"/>
  <c r="F73" i="3" s="1"/>
  <c r="F82" i="3" s="1"/>
  <c r="F7" i="3"/>
  <c r="F18" i="3"/>
  <c r="F27" i="3" s="1"/>
  <c r="F36" i="3" s="1"/>
  <c r="F45" i="3" s="1"/>
  <c r="F54" i="3" s="1"/>
  <c r="F63" i="3" s="1"/>
  <c r="F72" i="3" s="1"/>
  <c r="F81" i="3" s="1"/>
  <c r="F90" i="3" s="1"/>
  <c r="F7" i="1"/>
  <c r="F9" i="1" s="1"/>
  <c r="F10" i="1" s="1"/>
  <c r="F11" i="1" s="1"/>
  <c r="F18" i="1"/>
  <c r="F27" i="1" s="1"/>
  <c r="F36" i="1" s="1"/>
  <c r="F45" i="1" s="1"/>
  <c r="F54" i="1" s="1"/>
  <c r="F63" i="1" s="1"/>
  <c r="F72" i="1" s="1"/>
  <c r="F81" i="1" s="1"/>
  <c r="F90" i="1" s="1"/>
  <c r="F26" i="1"/>
  <c r="F35" i="1" s="1"/>
  <c r="F44" i="1" s="1"/>
  <c r="F53" i="1" s="1"/>
  <c r="F62" i="1" s="1"/>
  <c r="F71" i="1" s="1"/>
  <c r="F80" i="1" s="1"/>
  <c r="F89" i="1" s="1"/>
  <c r="F19" i="1"/>
  <c r="F28" i="1" s="1"/>
  <c r="F37" i="1" s="1"/>
  <c r="F46" i="1" s="1"/>
  <c r="F55" i="1" s="1"/>
  <c r="F64" i="1" s="1"/>
  <c r="F73" i="1" s="1"/>
  <c r="F82" i="1" s="1"/>
  <c r="F20" i="1"/>
  <c r="F29" i="1" s="1"/>
  <c r="F38" i="1" s="1"/>
  <c r="F47" i="1" s="1"/>
  <c r="F56" i="1" s="1"/>
  <c r="F65" i="1" s="1"/>
  <c r="F74" i="1" s="1"/>
  <c r="F83" i="1" s="1"/>
  <c r="F22" i="1"/>
  <c r="F31" i="1" s="1"/>
  <c r="F40" i="1" s="1"/>
  <c r="F49" i="1" s="1"/>
  <c r="F58" i="1" s="1"/>
  <c r="F67" i="1" s="1"/>
  <c r="F76" i="1" s="1"/>
  <c r="F85" i="1" s="1"/>
  <c r="F21" i="1"/>
  <c r="F30" i="1" s="1"/>
  <c r="F39" i="1" s="1"/>
  <c r="F48" i="1" s="1"/>
  <c r="F57" i="1" s="1"/>
  <c r="F66" i="1" s="1"/>
  <c r="F75" i="1" s="1"/>
  <c r="F84" i="1" s="1"/>
  <c r="F23" i="1"/>
  <c r="F32" i="1" s="1"/>
  <c r="F41" i="1" s="1"/>
  <c r="F50" i="1" s="1"/>
  <c r="F59" i="1" s="1"/>
  <c r="F68" i="1" s="1"/>
  <c r="F77" i="1" s="1"/>
  <c r="F86" i="1" s="1"/>
  <c r="F24" i="1"/>
  <c r="F33" i="1" s="1"/>
  <c r="F42" i="1" s="1"/>
  <c r="F51" i="1" s="1"/>
  <c r="F60" i="1" s="1"/>
  <c r="F69" i="1" s="1"/>
  <c r="F78" i="1" s="1"/>
  <c r="F87" i="1" s="1"/>
  <c r="F10" i="4" l="1"/>
  <c r="F11" i="4" s="1"/>
  <c r="F9" i="4"/>
  <c r="F8" i="4"/>
  <c r="F25" i="4"/>
  <c r="F34" i="4" s="1"/>
  <c r="F43" i="4" s="1"/>
  <c r="F52" i="4" s="1"/>
  <c r="F61" i="4" s="1"/>
  <c r="F70" i="4" s="1"/>
  <c r="F79" i="4" s="1"/>
  <c r="F88" i="4" s="1"/>
  <c r="D16" i="4"/>
  <c r="F9" i="3"/>
  <c r="F10" i="3" s="1"/>
  <c r="F11" i="3" s="1"/>
  <c r="F8" i="3"/>
  <c r="F25" i="3"/>
  <c r="F34" i="3" s="1"/>
  <c r="F43" i="3" s="1"/>
  <c r="F52" i="3" s="1"/>
  <c r="F61" i="3" s="1"/>
  <c r="F70" i="3" s="1"/>
  <c r="F79" i="3" s="1"/>
  <c r="F88" i="3" s="1"/>
  <c r="F25" i="1"/>
  <c r="F34" i="1" s="1"/>
  <c r="F43" i="1" s="1"/>
  <c r="F52" i="1" s="1"/>
  <c r="F61" i="1" s="1"/>
  <c r="F70" i="1" s="1"/>
  <c r="F79" i="1" s="1"/>
  <c r="F88" i="1" s="1"/>
  <c r="F8" i="1"/>
  <c r="E16" i="4" l="1"/>
  <c r="C16" i="4"/>
  <c r="B17" i="4" s="1"/>
  <c r="C16" i="3"/>
  <c r="B17" i="3" s="1"/>
  <c r="D17" i="3" s="1"/>
  <c r="C16" i="1"/>
  <c r="B17" i="1" s="1"/>
  <c r="H17" i="4" l="1"/>
  <c r="D17" i="4"/>
  <c r="E16" i="1"/>
  <c r="E16" i="3"/>
  <c r="H17" i="3"/>
  <c r="H17" i="1"/>
  <c r="G17" i="4" l="1"/>
  <c r="E17" i="4"/>
  <c r="C17" i="4"/>
  <c r="G17" i="3"/>
  <c r="C17" i="3"/>
  <c r="G17" i="1"/>
  <c r="C17" i="1"/>
  <c r="B18" i="1" s="1"/>
  <c r="D18" i="1" s="1"/>
  <c r="I17" i="4" l="1"/>
  <c r="B18" i="4"/>
  <c r="B18" i="3"/>
  <c r="D18" i="3" s="1"/>
  <c r="I17" i="3"/>
  <c r="E17" i="3"/>
  <c r="H18" i="1"/>
  <c r="E17" i="1"/>
  <c r="D18" i="4" l="1"/>
  <c r="H18" i="4"/>
  <c r="H18" i="3"/>
  <c r="G18" i="3"/>
  <c r="C18" i="3"/>
  <c r="C18" i="1"/>
  <c r="B19" i="1" s="1"/>
  <c r="D19" i="1" s="1"/>
  <c r="G18" i="1"/>
  <c r="G18" i="4" l="1"/>
  <c r="C18" i="4"/>
  <c r="B19" i="3"/>
  <c r="D19" i="3" s="1"/>
  <c r="I18" i="3"/>
  <c r="E18" i="1"/>
  <c r="E18" i="3"/>
  <c r="H19" i="1"/>
  <c r="I18" i="4" l="1"/>
  <c r="B19" i="4"/>
  <c r="E18" i="4"/>
  <c r="H19" i="3"/>
  <c r="G19" i="3"/>
  <c r="C19" i="3"/>
  <c r="C19" i="1"/>
  <c r="B20" i="1" s="1"/>
  <c r="D20" i="1" s="1"/>
  <c r="G19" i="1"/>
  <c r="E19" i="1"/>
  <c r="H19" i="4" l="1"/>
  <c r="D19" i="4"/>
  <c r="B20" i="3"/>
  <c r="D20" i="3" s="1"/>
  <c r="I19" i="3"/>
  <c r="H20" i="3"/>
  <c r="E19" i="3"/>
  <c r="H20" i="1"/>
  <c r="G19" i="4" l="1"/>
  <c r="C19" i="4"/>
  <c r="G20" i="3"/>
  <c r="C20" i="3"/>
  <c r="C20" i="1"/>
  <c r="B21" i="1" s="1"/>
  <c r="D21" i="1" s="1"/>
  <c r="G20" i="1"/>
  <c r="I19" i="4" l="1"/>
  <c r="B20" i="4"/>
  <c r="E19" i="4"/>
  <c r="B21" i="3"/>
  <c r="D21" i="3" s="1"/>
  <c r="I20" i="3"/>
  <c r="H21" i="3"/>
  <c r="E20" i="3"/>
  <c r="H21" i="1"/>
  <c r="E20" i="1"/>
  <c r="D20" i="4" l="1"/>
  <c r="H20" i="4"/>
  <c r="G21" i="3"/>
  <c r="C21" i="3"/>
  <c r="C21" i="1"/>
  <c r="B22" i="1" s="1"/>
  <c r="D22" i="1" s="1"/>
  <c r="G21" i="1"/>
  <c r="G20" i="4" l="1"/>
  <c r="C20" i="4"/>
  <c r="B22" i="3"/>
  <c r="D22" i="3" s="1"/>
  <c r="I21" i="3"/>
  <c r="E21" i="3"/>
  <c r="H22" i="1"/>
  <c r="E21" i="1"/>
  <c r="I20" i="4" l="1"/>
  <c r="B21" i="4"/>
  <c r="E20" i="4"/>
  <c r="H22" i="3"/>
  <c r="G22" i="3"/>
  <c r="C22" i="3"/>
  <c r="G22" i="1"/>
  <c r="C22" i="1"/>
  <c r="B23" i="1" s="1"/>
  <c r="D23" i="1" s="1"/>
  <c r="D21" i="4" l="1"/>
  <c r="H21" i="4"/>
  <c r="B23" i="3"/>
  <c r="D23" i="3" s="1"/>
  <c r="I22" i="3"/>
  <c r="E22" i="3"/>
  <c r="E22" i="1"/>
  <c r="H23" i="1"/>
  <c r="G21" i="4" l="1"/>
  <c r="C21" i="4"/>
  <c r="H23" i="3"/>
  <c r="G23" i="3"/>
  <c r="C23" i="3"/>
  <c r="C23" i="1"/>
  <c r="B24" i="1" s="1"/>
  <c r="D24" i="1" s="1"/>
  <c r="G23" i="1"/>
  <c r="E23" i="1"/>
  <c r="I21" i="4" l="1"/>
  <c r="B22" i="4"/>
  <c r="E21" i="4"/>
  <c r="B24" i="3"/>
  <c r="D24" i="3" s="1"/>
  <c r="I23" i="3"/>
  <c r="H24" i="3"/>
  <c r="E23" i="3"/>
  <c r="H24" i="1"/>
  <c r="H22" i="4" l="1"/>
  <c r="D22" i="4"/>
  <c r="G24" i="3"/>
  <c r="C24" i="3"/>
  <c r="C24" i="1"/>
  <c r="B25" i="1" s="1"/>
  <c r="D25" i="1" s="1"/>
  <c r="G24" i="1"/>
  <c r="E24" i="1"/>
  <c r="G22" i="4" l="1"/>
  <c r="C22" i="4"/>
  <c r="B25" i="3"/>
  <c r="D25" i="3" s="1"/>
  <c r="I24" i="3"/>
  <c r="H25" i="3"/>
  <c r="E24" i="3"/>
  <c r="H25" i="1"/>
  <c r="I22" i="4" l="1"/>
  <c r="B23" i="4"/>
  <c r="E22" i="4"/>
  <c r="G25" i="3"/>
  <c r="C25" i="3"/>
  <c r="C25" i="1"/>
  <c r="B26" i="1" s="1"/>
  <c r="D26" i="1" s="1"/>
  <c r="G25" i="1"/>
  <c r="E25" i="1"/>
  <c r="D23" i="4" l="1"/>
  <c r="H23" i="4"/>
  <c r="B26" i="3"/>
  <c r="D26" i="3" s="1"/>
  <c r="I25" i="3"/>
  <c r="H26" i="3"/>
  <c r="E25" i="3"/>
  <c r="H26" i="1"/>
  <c r="G23" i="4" l="1"/>
  <c r="C23" i="4"/>
  <c r="E23" i="4" s="1"/>
  <c r="G26" i="3"/>
  <c r="C26" i="3"/>
  <c r="C26" i="1"/>
  <c r="B27" i="1" s="1"/>
  <c r="D27" i="1" s="1"/>
  <c r="G26" i="1"/>
  <c r="E26" i="1"/>
  <c r="I23" i="4" l="1"/>
  <c r="B24" i="4"/>
  <c r="B27" i="3"/>
  <c r="D27" i="3" s="1"/>
  <c r="I26" i="3"/>
  <c r="E26" i="3"/>
  <c r="H27" i="3"/>
  <c r="H27" i="1"/>
  <c r="H24" i="4" l="1"/>
  <c r="D24" i="4"/>
  <c r="G27" i="3"/>
  <c r="C27" i="3"/>
  <c r="C27" i="1"/>
  <c r="B28" i="1" s="1"/>
  <c r="D28" i="1" s="1"/>
  <c r="G27" i="1"/>
  <c r="E27" i="1"/>
  <c r="G24" i="4" l="1"/>
  <c r="C24" i="4"/>
  <c r="B28" i="3"/>
  <c r="D28" i="3" s="1"/>
  <c r="I27" i="3"/>
  <c r="E27" i="3"/>
  <c r="H28" i="1"/>
  <c r="I24" i="4" l="1"/>
  <c r="B25" i="4"/>
  <c r="E24" i="4"/>
  <c r="H28" i="3"/>
  <c r="G28" i="3"/>
  <c r="C28" i="3"/>
  <c r="C28" i="1"/>
  <c r="B29" i="1" s="1"/>
  <c r="D29" i="1" s="1"/>
  <c r="G28" i="1"/>
  <c r="H25" i="4" l="1"/>
  <c r="D25" i="4"/>
  <c r="B29" i="3"/>
  <c r="D29" i="3" s="1"/>
  <c r="I28" i="3"/>
  <c r="E28" i="3"/>
  <c r="E28" i="1"/>
  <c r="H29" i="1"/>
  <c r="G25" i="4" l="1"/>
  <c r="C25" i="4"/>
  <c r="H29" i="3"/>
  <c r="G29" i="3"/>
  <c r="C29" i="3"/>
  <c r="C29" i="1"/>
  <c r="B30" i="1" s="1"/>
  <c r="D30" i="1" s="1"/>
  <c r="G29" i="1"/>
  <c r="E29" i="1"/>
  <c r="I25" i="4" l="1"/>
  <c r="B26" i="4"/>
  <c r="E25" i="4"/>
  <c r="B30" i="3"/>
  <c r="D30" i="3" s="1"/>
  <c r="I29" i="3"/>
  <c r="E29" i="3"/>
  <c r="H30" i="1"/>
  <c r="D26" i="4" l="1"/>
  <c r="H26" i="4"/>
  <c r="H30" i="3"/>
  <c r="G30" i="3"/>
  <c r="C30" i="3"/>
  <c r="C30" i="1"/>
  <c r="B31" i="1" s="1"/>
  <c r="D31" i="1" s="1"/>
  <c r="G30" i="1"/>
  <c r="G26" i="4" l="1"/>
  <c r="C26" i="4"/>
  <c r="B31" i="3"/>
  <c r="D31" i="3" s="1"/>
  <c r="I30" i="3"/>
  <c r="H31" i="3"/>
  <c r="E30" i="3"/>
  <c r="H31" i="1"/>
  <c r="E30" i="1"/>
  <c r="I26" i="4" l="1"/>
  <c r="B27" i="4"/>
  <c r="E26" i="4"/>
  <c r="G31" i="3"/>
  <c r="C31" i="3"/>
  <c r="C31" i="1"/>
  <c r="B32" i="1" s="1"/>
  <c r="D32" i="1" s="1"/>
  <c r="G31" i="1"/>
  <c r="H27" i="4" l="1"/>
  <c r="D27" i="4"/>
  <c r="B32" i="3"/>
  <c r="D32" i="3" s="1"/>
  <c r="I31" i="3"/>
  <c r="E31" i="1"/>
  <c r="E31" i="3"/>
  <c r="H32" i="3"/>
  <c r="H32" i="1"/>
  <c r="G27" i="4" l="1"/>
  <c r="C27" i="4"/>
  <c r="G32" i="3"/>
  <c r="C32" i="3"/>
  <c r="C32" i="1"/>
  <c r="B33" i="1" s="1"/>
  <c r="D33" i="1" s="1"/>
  <c r="G32" i="1"/>
  <c r="I27" i="4" l="1"/>
  <c r="B28" i="4"/>
  <c r="E27" i="4"/>
  <c r="B33" i="3"/>
  <c r="D33" i="3" s="1"/>
  <c r="I32" i="3"/>
  <c r="E32" i="1"/>
  <c r="E32" i="3"/>
  <c r="H33" i="3"/>
  <c r="H33" i="1"/>
  <c r="D28" i="4" l="1"/>
  <c r="H28" i="4"/>
  <c r="G33" i="3"/>
  <c r="C33" i="3"/>
  <c r="C33" i="1"/>
  <c r="B34" i="1" s="1"/>
  <c r="D34" i="1" s="1"/>
  <c r="G33" i="1"/>
  <c r="G28" i="4" l="1"/>
  <c r="C28" i="4"/>
  <c r="B34" i="3"/>
  <c r="I33" i="3"/>
  <c r="E33" i="1"/>
  <c r="E33" i="3"/>
  <c r="H34" i="3"/>
  <c r="H34" i="1"/>
  <c r="I28" i="4" l="1"/>
  <c r="B29" i="4"/>
  <c r="E28" i="4"/>
  <c r="G34" i="3"/>
  <c r="C34" i="1"/>
  <c r="B35" i="1" s="1"/>
  <c r="D35" i="1" s="1"/>
  <c r="G34" i="1"/>
  <c r="D29" i="4" l="1"/>
  <c r="H29" i="4"/>
  <c r="B35" i="3"/>
  <c r="I34" i="3"/>
  <c r="E34" i="3"/>
  <c r="H35" i="3"/>
  <c r="E34" i="1"/>
  <c r="H35" i="1"/>
  <c r="G29" i="4" l="1"/>
  <c r="C29" i="4"/>
  <c r="G35" i="3"/>
  <c r="C35" i="3"/>
  <c r="C35" i="1"/>
  <c r="B36" i="1" s="1"/>
  <c r="D36" i="1" s="1"/>
  <c r="G35" i="1"/>
  <c r="I29" i="4" l="1"/>
  <c r="B30" i="4"/>
  <c r="E29" i="4"/>
  <c r="B36" i="3"/>
  <c r="D36" i="3" s="1"/>
  <c r="I35" i="3"/>
  <c r="H36" i="3"/>
  <c r="E35" i="3"/>
  <c r="H36" i="1"/>
  <c r="E35" i="1"/>
  <c r="D30" i="4" l="1"/>
  <c r="H30" i="4"/>
  <c r="G36" i="3"/>
  <c r="C36" i="3"/>
  <c r="C36" i="1"/>
  <c r="B37" i="1" s="1"/>
  <c r="D37" i="1" s="1"/>
  <c r="G36" i="1"/>
  <c r="G30" i="4" l="1"/>
  <c r="C30" i="4"/>
  <c r="B37" i="3"/>
  <c r="D37" i="3" s="1"/>
  <c r="I36" i="3"/>
  <c r="E36" i="3"/>
  <c r="H37" i="3"/>
  <c r="H37" i="1"/>
  <c r="E36" i="1"/>
  <c r="I30" i="4" l="1"/>
  <c r="B31" i="4"/>
  <c r="E30" i="4"/>
  <c r="G37" i="3"/>
  <c r="C37" i="3"/>
  <c r="C37" i="1"/>
  <c r="B38" i="1" s="1"/>
  <c r="D38" i="1" s="1"/>
  <c r="G37" i="1"/>
  <c r="D31" i="4" l="1"/>
  <c r="H31" i="4"/>
  <c r="B38" i="3"/>
  <c r="D38" i="3" s="1"/>
  <c r="I37" i="3"/>
  <c r="H38" i="3"/>
  <c r="E37" i="3"/>
  <c r="H38" i="1"/>
  <c r="E37" i="1"/>
  <c r="G31" i="4" l="1"/>
  <c r="C31" i="4"/>
  <c r="G38" i="3"/>
  <c r="C38" i="3"/>
  <c r="C38" i="1"/>
  <c r="B39" i="1" s="1"/>
  <c r="D39" i="1" s="1"/>
  <c r="G38" i="1"/>
  <c r="I31" i="4" l="1"/>
  <c r="B32" i="4"/>
  <c r="E31" i="4"/>
  <c r="B39" i="3"/>
  <c r="D39" i="3" s="1"/>
  <c r="I38" i="3"/>
  <c r="H39" i="3"/>
  <c r="E38" i="3"/>
  <c r="H39" i="1"/>
  <c r="E38" i="1"/>
  <c r="H32" i="4" l="1"/>
  <c r="D32" i="4"/>
  <c r="G39" i="3"/>
  <c r="C39" i="3"/>
  <c r="C39" i="1"/>
  <c r="B40" i="1" s="1"/>
  <c r="D40" i="1" s="1"/>
  <c r="G39" i="1"/>
  <c r="E39" i="1"/>
  <c r="G32" i="4" l="1"/>
  <c r="C32" i="4"/>
  <c r="B40" i="3"/>
  <c r="D40" i="3" s="1"/>
  <c r="I39" i="3"/>
  <c r="E39" i="3"/>
  <c r="H40" i="3"/>
  <c r="H40" i="1"/>
  <c r="I32" i="4" l="1"/>
  <c r="B33" i="4"/>
  <c r="E32" i="4"/>
  <c r="G40" i="3"/>
  <c r="C40" i="3"/>
  <c r="C40" i="1"/>
  <c r="B41" i="1" s="1"/>
  <c r="D41" i="1" s="1"/>
  <c r="G40" i="1"/>
  <c r="H33" i="4" l="1"/>
  <c r="D33" i="4"/>
  <c r="D41" i="3"/>
  <c r="I40" i="3"/>
  <c r="H41" i="3"/>
  <c r="E40" i="3"/>
  <c r="H41" i="1"/>
  <c r="E40" i="1"/>
  <c r="G33" i="4" l="1"/>
  <c r="C33" i="4"/>
  <c r="G41" i="3"/>
  <c r="C41" i="3"/>
  <c r="C41" i="1"/>
  <c r="B42" i="1" s="1"/>
  <c r="D42" i="1" s="1"/>
  <c r="G41" i="1"/>
  <c r="E41" i="1"/>
  <c r="I33" i="4" l="1"/>
  <c r="B34" i="4"/>
  <c r="E33" i="4"/>
  <c r="B42" i="3"/>
  <c r="D42" i="3" s="1"/>
  <c r="I41" i="3"/>
  <c r="H42" i="3"/>
  <c r="E41" i="3"/>
  <c r="H42" i="1"/>
  <c r="H34" i="4" l="1"/>
  <c r="G42" i="3"/>
  <c r="C42" i="3"/>
  <c r="C42" i="1"/>
  <c r="B43" i="1" s="1"/>
  <c r="D43" i="1" s="1"/>
  <c r="G42" i="1"/>
  <c r="E42" i="1"/>
  <c r="G34" i="4" l="1"/>
  <c r="C34" i="4"/>
  <c r="B43" i="3"/>
  <c r="D43" i="3" s="1"/>
  <c r="I42" i="3"/>
  <c r="H43" i="3"/>
  <c r="E42" i="3"/>
  <c r="H43" i="1"/>
  <c r="I34" i="4" l="1"/>
  <c r="B35" i="4"/>
  <c r="E34" i="4"/>
  <c r="G43" i="3"/>
  <c r="C43" i="3"/>
  <c r="C43" i="1"/>
  <c r="B44" i="1" s="1"/>
  <c r="D44" i="1" s="1"/>
  <c r="G43" i="1"/>
  <c r="H35" i="4" l="1"/>
  <c r="D35" i="4"/>
  <c r="B44" i="3"/>
  <c r="D44" i="3" s="1"/>
  <c r="I43" i="3"/>
  <c r="E43" i="3"/>
  <c r="H44" i="3"/>
  <c r="E43" i="1"/>
  <c r="H44" i="1"/>
  <c r="G35" i="4" l="1"/>
  <c r="C35" i="4"/>
  <c r="G44" i="3"/>
  <c r="C44" i="3"/>
  <c r="C44" i="1"/>
  <c r="B45" i="1" s="1"/>
  <c r="D45" i="1" s="1"/>
  <c r="G44" i="1"/>
  <c r="E44" i="1"/>
  <c r="I35" i="4" l="1"/>
  <c r="B36" i="4"/>
  <c r="E35" i="4"/>
  <c r="B45" i="3"/>
  <c r="D45" i="3" s="1"/>
  <c r="I44" i="3"/>
  <c r="E44" i="3"/>
  <c r="H45" i="3"/>
  <c r="H45" i="1"/>
  <c r="D36" i="4" l="1"/>
  <c r="H36" i="4"/>
  <c r="G45" i="3"/>
  <c r="C45" i="3"/>
  <c r="C45" i="1"/>
  <c r="B46" i="1" s="1"/>
  <c r="D46" i="1" s="1"/>
  <c r="G45" i="1"/>
  <c r="E45" i="1"/>
  <c r="G36" i="4" l="1"/>
  <c r="C36" i="4"/>
  <c r="B46" i="3"/>
  <c r="D46" i="3" s="1"/>
  <c r="I45" i="3"/>
  <c r="E45" i="3"/>
  <c r="H46" i="3"/>
  <c r="H46" i="1"/>
  <c r="I36" i="4" l="1"/>
  <c r="B37" i="4"/>
  <c r="E36" i="4"/>
  <c r="G46" i="3"/>
  <c r="C46" i="3"/>
  <c r="C46" i="1"/>
  <c r="B47" i="1" s="1"/>
  <c r="D47" i="1" s="1"/>
  <c r="G46" i="1"/>
  <c r="D37" i="4" l="1"/>
  <c r="H37" i="4"/>
  <c r="B47" i="3"/>
  <c r="D47" i="3" s="1"/>
  <c r="I46" i="3"/>
  <c r="H47" i="3"/>
  <c r="E46" i="3"/>
  <c r="H47" i="1"/>
  <c r="E46" i="1"/>
  <c r="G37" i="4" l="1"/>
  <c r="C37" i="4"/>
  <c r="G47" i="3"/>
  <c r="C47" i="3"/>
  <c r="C47" i="1"/>
  <c r="B48" i="1" s="1"/>
  <c r="D48" i="1" s="1"/>
  <c r="G47" i="1"/>
  <c r="I37" i="4" l="1"/>
  <c r="B38" i="4"/>
  <c r="E37" i="4"/>
  <c r="B48" i="3"/>
  <c r="D48" i="3" s="1"/>
  <c r="I47" i="3"/>
  <c r="H48" i="3"/>
  <c r="E47" i="3"/>
  <c r="H48" i="1"/>
  <c r="E47" i="1"/>
  <c r="D38" i="4" l="1"/>
  <c r="H38" i="4"/>
  <c r="G48" i="3"/>
  <c r="C48" i="3"/>
  <c r="C48" i="1"/>
  <c r="B49" i="1" s="1"/>
  <c r="D49" i="1" s="1"/>
  <c r="G48" i="1"/>
  <c r="E48" i="1"/>
  <c r="G38" i="4" l="1"/>
  <c r="C38" i="4"/>
  <c r="B49" i="3"/>
  <c r="D49" i="3" s="1"/>
  <c r="I48" i="3"/>
  <c r="E48" i="3"/>
  <c r="H49" i="3"/>
  <c r="H49" i="1"/>
  <c r="I38" i="4" l="1"/>
  <c r="B39" i="4"/>
  <c r="E38" i="4"/>
  <c r="G49" i="3"/>
  <c r="C49" i="3"/>
  <c r="C49" i="1"/>
  <c r="B50" i="1" s="1"/>
  <c r="D50" i="1" s="1"/>
  <c r="G49" i="1"/>
  <c r="D39" i="4" l="1"/>
  <c r="H39" i="4"/>
  <c r="B50" i="3"/>
  <c r="D50" i="3" s="1"/>
  <c r="I49" i="3"/>
  <c r="E49" i="3"/>
  <c r="H50" i="3"/>
  <c r="E49" i="1"/>
  <c r="H50" i="1"/>
  <c r="G39" i="4" l="1"/>
  <c r="C39" i="4"/>
  <c r="G50" i="3"/>
  <c r="C50" i="3"/>
  <c r="C50" i="1"/>
  <c r="B51" i="1" s="1"/>
  <c r="D51" i="1" s="1"/>
  <c r="G50" i="1"/>
  <c r="E50" i="1"/>
  <c r="I39" i="4" l="1"/>
  <c r="B40" i="4"/>
  <c r="E39" i="4"/>
  <c r="B51" i="3"/>
  <c r="D51" i="3" s="1"/>
  <c r="I50" i="3"/>
  <c r="H51" i="3"/>
  <c r="E50" i="3"/>
  <c r="H51" i="1"/>
  <c r="H40" i="4" l="1"/>
  <c r="D40" i="4"/>
  <c r="G51" i="3"/>
  <c r="C51" i="3"/>
  <c r="C51" i="1"/>
  <c r="B52" i="1" s="1"/>
  <c r="D52" i="1" s="1"/>
  <c r="G51" i="1"/>
  <c r="E51" i="1"/>
  <c r="G40" i="4" l="1"/>
  <c r="C40" i="4"/>
  <c r="B52" i="3"/>
  <c r="D52" i="3" s="1"/>
  <c r="I51" i="3"/>
  <c r="E51" i="3"/>
  <c r="H52" i="3"/>
  <c r="H52" i="1"/>
  <c r="I40" i="4" l="1"/>
  <c r="B41" i="4"/>
  <c r="E40" i="4"/>
  <c r="G52" i="3"/>
  <c r="C52" i="3"/>
  <c r="C52" i="1"/>
  <c r="B53" i="1" s="1"/>
  <c r="D53" i="1" s="1"/>
  <c r="G52" i="1"/>
  <c r="H41" i="4" l="1"/>
  <c r="D41" i="4"/>
  <c r="B53" i="3"/>
  <c r="D53" i="3" s="1"/>
  <c r="I52" i="3"/>
  <c r="E52" i="3"/>
  <c r="H53" i="3"/>
  <c r="H53" i="1"/>
  <c r="E52" i="1"/>
  <c r="G41" i="4" l="1"/>
  <c r="C41" i="4"/>
  <c r="G53" i="3"/>
  <c r="C53" i="3"/>
  <c r="C53" i="1"/>
  <c r="B54" i="1" s="1"/>
  <c r="D54" i="1" s="1"/>
  <c r="G53" i="1"/>
  <c r="E53" i="1"/>
  <c r="I41" i="4" l="1"/>
  <c r="B42" i="4"/>
  <c r="E41" i="4"/>
  <c r="B54" i="3"/>
  <c r="D54" i="3" s="1"/>
  <c r="I53" i="3"/>
  <c r="E53" i="3"/>
  <c r="H54" i="3"/>
  <c r="H54" i="1"/>
  <c r="H42" i="4" l="1"/>
  <c r="D42" i="4"/>
  <c r="G54" i="3"/>
  <c r="C54" i="3"/>
  <c r="C54" i="1"/>
  <c r="B55" i="1" s="1"/>
  <c r="D55" i="1" s="1"/>
  <c r="G54" i="1"/>
  <c r="E54" i="1"/>
  <c r="G42" i="4" l="1"/>
  <c r="C42" i="4"/>
  <c r="B55" i="3"/>
  <c r="D55" i="3" s="1"/>
  <c r="I54" i="3"/>
  <c r="H55" i="3"/>
  <c r="E54" i="3"/>
  <c r="H55" i="1"/>
  <c r="I42" i="4" l="1"/>
  <c r="B43" i="4"/>
  <c r="E42" i="4"/>
  <c r="G55" i="3"/>
  <c r="C55" i="3"/>
  <c r="C55" i="1"/>
  <c r="B56" i="1" s="1"/>
  <c r="D56" i="1" s="1"/>
  <c r="G55" i="1"/>
  <c r="E55" i="1"/>
  <c r="H43" i="4" l="1"/>
  <c r="D43" i="4"/>
  <c r="B56" i="3"/>
  <c r="D56" i="3" s="1"/>
  <c r="I55" i="3"/>
  <c r="H56" i="3"/>
  <c r="E55" i="3"/>
  <c r="H56" i="1"/>
  <c r="G43" i="4" l="1"/>
  <c r="C43" i="4"/>
  <c r="G56" i="3"/>
  <c r="C56" i="3"/>
  <c r="C56" i="1"/>
  <c r="B57" i="1" s="1"/>
  <c r="D57" i="1" s="1"/>
  <c r="G56" i="1"/>
  <c r="E56" i="1"/>
  <c r="I43" i="4" l="1"/>
  <c r="B44" i="4"/>
  <c r="E43" i="4"/>
  <c r="B57" i="3"/>
  <c r="D57" i="3" s="1"/>
  <c r="I56" i="3"/>
  <c r="H57" i="3"/>
  <c r="E56" i="3"/>
  <c r="H57" i="1"/>
  <c r="D44" i="4" l="1"/>
  <c r="H44" i="4"/>
  <c r="G57" i="3"/>
  <c r="C57" i="3"/>
  <c r="C57" i="1"/>
  <c r="B58" i="1" s="1"/>
  <c r="D58" i="1" s="1"/>
  <c r="G57" i="1"/>
  <c r="E57" i="1"/>
  <c r="G44" i="4" l="1"/>
  <c r="C44" i="4"/>
  <c r="B58" i="3"/>
  <c r="D58" i="3" s="1"/>
  <c r="I57" i="3"/>
  <c r="H58" i="3"/>
  <c r="E57" i="3"/>
  <c r="H58" i="1"/>
  <c r="I44" i="4" l="1"/>
  <c r="B45" i="4"/>
  <c r="E44" i="4"/>
  <c r="G58" i="3"/>
  <c r="C58" i="3"/>
  <c r="C58" i="1"/>
  <c r="B59" i="1" s="1"/>
  <c r="D59" i="1" s="1"/>
  <c r="G58" i="1"/>
  <c r="D45" i="4" l="1"/>
  <c r="H45" i="4"/>
  <c r="B59" i="3"/>
  <c r="D59" i="3" s="1"/>
  <c r="I58" i="3"/>
  <c r="E58" i="3"/>
  <c r="H59" i="3"/>
  <c r="H59" i="1"/>
  <c r="E58" i="1"/>
  <c r="G45" i="4" l="1"/>
  <c r="C45" i="4"/>
  <c r="G59" i="3"/>
  <c r="C59" i="3"/>
  <c r="C59" i="1"/>
  <c r="B60" i="1" s="1"/>
  <c r="D60" i="1" s="1"/>
  <c r="G59" i="1"/>
  <c r="I45" i="4" l="1"/>
  <c r="E45" i="4"/>
  <c r="B60" i="3"/>
  <c r="D60" i="3" s="1"/>
  <c r="I59" i="3"/>
  <c r="H60" i="3"/>
  <c r="E59" i="3"/>
  <c r="H60" i="1"/>
  <c r="E59" i="1"/>
  <c r="D46" i="4" l="1"/>
  <c r="C46" i="4" s="1"/>
  <c r="B47" i="4" s="1"/>
  <c r="H46" i="4"/>
  <c r="G60" i="3"/>
  <c r="C60" i="3"/>
  <c r="C60" i="1"/>
  <c r="B61" i="1" s="1"/>
  <c r="D61" i="1" s="1"/>
  <c r="G60" i="1"/>
  <c r="E60" i="1"/>
  <c r="G46" i="4" l="1"/>
  <c r="B61" i="3"/>
  <c r="D61" i="3" s="1"/>
  <c r="I60" i="3"/>
  <c r="E60" i="3"/>
  <c r="H61" i="3"/>
  <c r="H61" i="1"/>
  <c r="I46" i="4" l="1"/>
  <c r="E46" i="4"/>
  <c r="G61" i="3"/>
  <c r="C61" i="3"/>
  <c r="C61" i="1"/>
  <c r="B62" i="1" s="1"/>
  <c r="D62" i="1" s="1"/>
  <c r="G61" i="1"/>
  <c r="D47" i="4" l="1"/>
  <c r="H47" i="4"/>
  <c r="B62" i="3"/>
  <c r="D62" i="3" s="1"/>
  <c r="I61" i="3"/>
  <c r="E61" i="3"/>
  <c r="H62" i="1"/>
  <c r="E61" i="1"/>
  <c r="G47" i="4" l="1"/>
  <c r="C47" i="4"/>
  <c r="B48" i="4" s="1"/>
  <c r="H62" i="3"/>
  <c r="G62" i="3"/>
  <c r="C62" i="3"/>
  <c r="C62" i="1"/>
  <c r="B63" i="1" s="1"/>
  <c r="D63" i="1" s="1"/>
  <c r="G62" i="1"/>
  <c r="E62" i="1"/>
  <c r="I47" i="4" l="1"/>
  <c r="E47" i="4"/>
  <c r="B63" i="3"/>
  <c r="I62" i="3"/>
  <c r="E62" i="3"/>
  <c r="H63" i="1"/>
  <c r="H48" i="4" l="1"/>
  <c r="D48" i="4"/>
  <c r="D63" i="3"/>
  <c r="G63" i="3" s="1"/>
  <c r="H63" i="3"/>
  <c r="C63" i="1"/>
  <c r="B64" i="1" s="1"/>
  <c r="D64" i="1" s="1"/>
  <c r="G63" i="1"/>
  <c r="G48" i="4" l="1"/>
  <c r="C48" i="4"/>
  <c r="B49" i="4" s="1"/>
  <c r="C63" i="3"/>
  <c r="B64" i="3"/>
  <c r="D64" i="3" s="1"/>
  <c r="I63" i="3"/>
  <c r="E63" i="3"/>
  <c r="H64" i="3"/>
  <c r="H64" i="1"/>
  <c r="E63" i="1"/>
  <c r="I48" i="4" l="1"/>
  <c r="E48" i="4"/>
  <c r="G64" i="3"/>
  <c r="C64" i="3"/>
  <c r="C64" i="1"/>
  <c r="B65" i="1" s="1"/>
  <c r="D65" i="1" s="1"/>
  <c r="G64" i="1"/>
  <c r="E64" i="1"/>
  <c r="H49" i="4" l="1"/>
  <c r="D49" i="4"/>
  <c r="B65" i="3"/>
  <c r="D65" i="3" s="1"/>
  <c r="I64" i="3"/>
  <c r="H65" i="3"/>
  <c r="E64" i="3"/>
  <c r="H65" i="1"/>
  <c r="G49" i="4" l="1"/>
  <c r="C49" i="4"/>
  <c r="B50" i="4" s="1"/>
  <c r="G65" i="3"/>
  <c r="C65" i="3"/>
  <c r="C65" i="1"/>
  <c r="B66" i="1" s="1"/>
  <c r="D66" i="1" s="1"/>
  <c r="G65" i="1"/>
  <c r="I49" i="4" l="1"/>
  <c r="E49" i="4"/>
  <c r="B66" i="3"/>
  <c r="D66" i="3" s="1"/>
  <c r="I65" i="3"/>
  <c r="E65" i="3"/>
  <c r="H66" i="3"/>
  <c r="E65" i="1"/>
  <c r="H66" i="1"/>
  <c r="H50" i="4" l="1"/>
  <c r="D50" i="4"/>
  <c r="G66" i="3"/>
  <c r="C66" i="3"/>
  <c r="C66" i="1"/>
  <c r="B67" i="1" s="1"/>
  <c r="D67" i="1" s="1"/>
  <c r="G66" i="1"/>
  <c r="E66" i="1"/>
  <c r="G50" i="4" l="1"/>
  <c r="C50" i="4"/>
  <c r="B67" i="3"/>
  <c r="D67" i="3" s="1"/>
  <c r="I66" i="3"/>
  <c r="E66" i="3"/>
  <c r="H67" i="1"/>
  <c r="I50" i="4" l="1"/>
  <c r="B51" i="4"/>
  <c r="E50" i="4"/>
  <c r="H67" i="3"/>
  <c r="G67" i="3"/>
  <c r="C67" i="3"/>
  <c r="C67" i="1"/>
  <c r="B68" i="1" s="1"/>
  <c r="D68" i="1" s="1"/>
  <c r="G67" i="1"/>
  <c r="H51" i="4" l="1"/>
  <c r="D51" i="4"/>
  <c r="B68" i="3"/>
  <c r="D68" i="3" s="1"/>
  <c r="I67" i="3"/>
  <c r="H68" i="3"/>
  <c r="E67" i="3"/>
  <c r="E67" i="1"/>
  <c r="H68" i="1"/>
  <c r="G51" i="4" l="1"/>
  <c r="C51" i="4"/>
  <c r="G68" i="3"/>
  <c r="C68" i="3"/>
  <c r="C68" i="1"/>
  <c r="B69" i="1" s="1"/>
  <c r="D69" i="1" s="1"/>
  <c r="G68" i="1"/>
  <c r="I51" i="4" l="1"/>
  <c r="B52" i="4"/>
  <c r="E51" i="4"/>
  <c r="B69" i="3"/>
  <c r="D69" i="3" s="1"/>
  <c r="I68" i="3"/>
  <c r="E68" i="3"/>
  <c r="E68" i="1"/>
  <c r="H69" i="1"/>
  <c r="D52" i="4" l="1"/>
  <c r="H52" i="4"/>
  <c r="H69" i="3"/>
  <c r="G69" i="3"/>
  <c r="C69" i="3"/>
  <c r="C69" i="1"/>
  <c r="B70" i="1" s="1"/>
  <c r="D70" i="1" s="1"/>
  <c r="G69" i="1"/>
  <c r="G52" i="4" l="1"/>
  <c r="C52" i="4"/>
  <c r="E52" i="4" s="1"/>
  <c r="B70" i="3"/>
  <c r="D70" i="3" s="1"/>
  <c r="I69" i="3"/>
  <c r="E69" i="3"/>
  <c r="E69" i="1"/>
  <c r="H70" i="1"/>
  <c r="I52" i="4" l="1"/>
  <c r="B53" i="4"/>
  <c r="H70" i="3"/>
  <c r="G70" i="3"/>
  <c r="C70" i="3"/>
  <c r="C70" i="1"/>
  <c r="B71" i="1" s="1"/>
  <c r="D71" i="1" s="1"/>
  <c r="G70" i="1"/>
  <c r="E70" i="1"/>
  <c r="D53" i="4" l="1"/>
  <c r="H53" i="4"/>
  <c r="B71" i="3"/>
  <c r="D71" i="3" s="1"/>
  <c r="I70" i="3"/>
  <c r="E70" i="3"/>
  <c r="H71" i="1"/>
  <c r="G53" i="4" l="1"/>
  <c r="C53" i="4"/>
  <c r="H71" i="3"/>
  <c r="G71" i="3"/>
  <c r="C71" i="3"/>
  <c r="C71" i="1"/>
  <c r="B72" i="1" s="1"/>
  <c r="D72" i="1" s="1"/>
  <c r="G71" i="1"/>
  <c r="E71" i="1"/>
  <c r="I53" i="4" l="1"/>
  <c r="B54" i="4"/>
  <c r="E53" i="4"/>
  <c r="B72" i="3"/>
  <c r="D72" i="3" s="1"/>
  <c r="I71" i="3"/>
  <c r="E71" i="3"/>
  <c r="H72" i="1"/>
  <c r="D54" i="4" l="1"/>
  <c r="H54" i="4"/>
  <c r="H72" i="3"/>
  <c r="G72" i="3"/>
  <c r="C72" i="3"/>
  <c r="C72" i="1"/>
  <c r="B73" i="1" s="1"/>
  <c r="D73" i="1" s="1"/>
  <c r="G72" i="1"/>
  <c r="E72" i="1"/>
  <c r="G54" i="4" l="1"/>
  <c r="C54" i="4"/>
  <c r="B73" i="3"/>
  <c r="D73" i="3" s="1"/>
  <c r="I72" i="3"/>
  <c r="E72" i="3"/>
  <c r="H73" i="1"/>
  <c r="I54" i="4" l="1"/>
  <c r="B55" i="4"/>
  <c r="E54" i="4"/>
  <c r="H73" i="3"/>
  <c r="G73" i="3"/>
  <c r="C73" i="3"/>
  <c r="C73" i="1"/>
  <c r="B74" i="1" s="1"/>
  <c r="D74" i="1" s="1"/>
  <c r="G73" i="1"/>
  <c r="E73" i="1"/>
  <c r="D55" i="4" l="1"/>
  <c r="H55" i="4"/>
  <c r="B74" i="3"/>
  <c r="D74" i="3" s="1"/>
  <c r="I73" i="3"/>
  <c r="E73" i="3"/>
  <c r="H74" i="1"/>
  <c r="G55" i="4" l="1"/>
  <c r="C55" i="4"/>
  <c r="H74" i="3"/>
  <c r="G74" i="3"/>
  <c r="C74" i="3"/>
  <c r="C74" i="1"/>
  <c r="B75" i="1" s="1"/>
  <c r="D75" i="1" s="1"/>
  <c r="G74" i="1"/>
  <c r="E74" i="1"/>
  <c r="I55" i="4" l="1"/>
  <c r="B56" i="4"/>
  <c r="E55" i="4"/>
  <c r="B75" i="3"/>
  <c r="D75" i="3" s="1"/>
  <c r="I74" i="3"/>
  <c r="H75" i="3"/>
  <c r="E74" i="3"/>
  <c r="H75" i="1"/>
  <c r="H56" i="4" l="1"/>
  <c r="D56" i="4"/>
  <c r="G75" i="3"/>
  <c r="C75" i="3"/>
  <c r="C75" i="1"/>
  <c r="B76" i="1" s="1"/>
  <c r="D76" i="1" s="1"/>
  <c r="G75" i="1"/>
  <c r="E75" i="1"/>
  <c r="G56" i="4" l="1"/>
  <c r="C56" i="4"/>
  <c r="B76" i="3"/>
  <c r="D76" i="3" s="1"/>
  <c r="I75" i="3"/>
  <c r="H76" i="3"/>
  <c r="E75" i="3"/>
  <c r="H76" i="1"/>
  <c r="I56" i="4" l="1"/>
  <c r="B57" i="4"/>
  <c r="E56" i="4"/>
  <c r="G76" i="3"/>
  <c r="C76" i="3"/>
  <c r="C76" i="1"/>
  <c r="B77" i="1" s="1"/>
  <c r="D77" i="1" s="1"/>
  <c r="G76" i="1"/>
  <c r="H57" i="4" l="1"/>
  <c r="D57" i="4"/>
  <c r="B77" i="3"/>
  <c r="D77" i="3" s="1"/>
  <c r="I76" i="3"/>
  <c r="H77" i="3"/>
  <c r="E76" i="3"/>
  <c r="H77" i="1"/>
  <c r="E76" i="1"/>
  <c r="G57" i="4" l="1"/>
  <c r="C57" i="4"/>
  <c r="G77" i="3"/>
  <c r="C77" i="3"/>
  <c r="C77" i="1"/>
  <c r="B78" i="1" s="1"/>
  <c r="D78" i="1" s="1"/>
  <c r="G77" i="1"/>
  <c r="I57" i="4" l="1"/>
  <c r="B58" i="4"/>
  <c r="E57" i="4"/>
  <c r="B78" i="3"/>
  <c r="D78" i="3" s="1"/>
  <c r="I77" i="3"/>
  <c r="E77" i="3"/>
  <c r="H78" i="1"/>
  <c r="E77" i="1"/>
  <c r="H58" i="4" l="1"/>
  <c r="D58" i="4"/>
  <c r="H78" i="3"/>
  <c r="G78" i="3"/>
  <c r="C78" i="3"/>
  <c r="C78" i="1"/>
  <c r="B79" i="1" s="1"/>
  <c r="D79" i="1" s="1"/>
  <c r="G78" i="1"/>
  <c r="G58" i="4" l="1"/>
  <c r="C58" i="4"/>
  <c r="B79" i="3"/>
  <c r="D79" i="3" s="1"/>
  <c r="I78" i="3"/>
  <c r="E78" i="3"/>
  <c r="E78" i="1"/>
  <c r="H79" i="1"/>
  <c r="I58" i="4" l="1"/>
  <c r="B59" i="4"/>
  <c r="E58" i="4"/>
  <c r="H79" i="3"/>
  <c r="G79" i="3"/>
  <c r="C79" i="3"/>
  <c r="C79" i="1"/>
  <c r="B80" i="1" s="1"/>
  <c r="D80" i="1" s="1"/>
  <c r="G79" i="1"/>
  <c r="H59" i="4" l="1"/>
  <c r="D59" i="4"/>
  <c r="B80" i="3"/>
  <c r="D80" i="3" s="1"/>
  <c r="I79" i="3"/>
  <c r="H80" i="3"/>
  <c r="E79" i="3"/>
  <c r="H80" i="1"/>
  <c r="E79" i="1"/>
  <c r="G59" i="4" l="1"/>
  <c r="C59" i="4"/>
  <c r="E59" i="4" s="1"/>
  <c r="G80" i="3"/>
  <c r="C80" i="3"/>
  <c r="C80" i="1"/>
  <c r="B81" i="1" s="1"/>
  <c r="D81" i="1" s="1"/>
  <c r="G80" i="1"/>
  <c r="E80" i="1"/>
  <c r="I59" i="4" l="1"/>
  <c r="B60" i="4"/>
  <c r="B81" i="3"/>
  <c r="D81" i="3" s="1"/>
  <c r="I80" i="3"/>
  <c r="E80" i="3"/>
  <c r="H81" i="3"/>
  <c r="H81" i="1"/>
  <c r="D60" i="4" l="1"/>
  <c r="H60" i="4"/>
  <c r="G81" i="3"/>
  <c r="C81" i="3"/>
  <c r="C81" i="1"/>
  <c r="B82" i="1" s="1"/>
  <c r="D82" i="1" s="1"/>
  <c r="G81" i="1"/>
  <c r="E81" i="1"/>
  <c r="G60" i="4" l="1"/>
  <c r="C60" i="4"/>
  <c r="E60" i="4" s="1"/>
  <c r="B82" i="3"/>
  <c r="D82" i="3" s="1"/>
  <c r="I81" i="3"/>
  <c r="H82" i="3"/>
  <c r="E81" i="3"/>
  <c r="H82" i="1"/>
  <c r="I60" i="4" l="1"/>
  <c r="B61" i="4"/>
  <c r="G82" i="3"/>
  <c r="C82" i="3"/>
  <c r="C82" i="1"/>
  <c r="B83" i="1" s="1"/>
  <c r="D83" i="1" s="1"/>
  <c r="G82" i="1"/>
  <c r="D61" i="4" l="1"/>
  <c r="H61" i="4"/>
  <c r="B83" i="3"/>
  <c r="D83" i="3" s="1"/>
  <c r="I82" i="3"/>
  <c r="H83" i="3"/>
  <c r="E82" i="3"/>
  <c r="H83" i="1"/>
  <c r="E82" i="1"/>
  <c r="G61" i="4" l="1"/>
  <c r="C61" i="4"/>
  <c r="G83" i="3"/>
  <c r="C83" i="3"/>
  <c r="C83" i="1"/>
  <c r="B84" i="1" s="1"/>
  <c r="D84" i="1" s="1"/>
  <c r="G83" i="1"/>
  <c r="I61" i="4" l="1"/>
  <c r="B62" i="4"/>
  <c r="E61" i="4"/>
  <c r="B84" i="3"/>
  <c r="D84" i="3" s="1"/>
  <c r="I83" i="3"/>
  <c r="E83" i="3"/>
  <c r="H84" i="3"/>
  <c r="E83" i="1"/>
  <c r="H84" i="1"/>
  <c r="D62" i="4" l="1"/>
  <c r="H62" i="4"/>
  <c r="G84" i="3"/>
  <c r="C84" i="3"/>
  <c r="C84" i="1"/>
  <c r="B85" i="1" s="1"/>
  <c r="D85" i="1" s="1"/>
  <c r="G84" i="1"/>
  <c r="E84" i="1"/>
  <c r="G62" i="4" l="1"/>
  <c r="C62" i="4"/>
  <c r="B85" i="3"/>
  <c r="D85" i="3" s="1"/>
  <c r="I84" i="3"/>
  <c r="H85" i="3"/>
  <c r="E84" i="3"/>
  <c r="H85" i="1"/>
  <c r="I62" i="4" l="1"/>
  <c r="B63" i="4"/>
  <c r="E62" i="4"/>
  <c r="G85" i="3"/>
  <c r="C85" i="3"/>
  <c r="C85" i="1"/>
  <c r="B86" i="1" s="1"/>
  <c r="D86" i="1" s="1"/>
  <c r="G85" i="1"/>
  <c r="E85" i="1"/>
  <c r="D63" i="4" l="1"/>
  <c r="H63" i="4"/>
  <c r="B86" i="3"/>
  <c r="D86" i="3" s="1"/>
  <c r="I85" i="3"/>
  <c r="H86" i="3"/>
  <c r="E85" i="3"/>
  <c r="H86" i="1"/>
  <c r="G63" i="4" l="1"/>
  <c r="C63" i="4"/>
  <c r="G86" i="3"/>
  <c r="C86" i="3"/>
  <c r="C86" i="1"/>
  <c r="B87" i="1" s="1"/>
  <c r="D87" i="1" s="1"/>
  <c r="G86" i="1"/>
  <c r="I63" i="4" l="1"/>
  <c r="B64" i="4"/>
  <c r="E63" i="4"/>
  <c r="B87" i="3"/>
  <c r="D87" i="3" s="1"/>
  <c r="I86" i="3"/>
  <c r="H87" i="3"/>
  <c r="E86" i="3"/>
  <c r="E86" i="1"/>
  <c r="H87" i="1"/>
  <c r="H64" i="4" l="1"/>
  <c r="D64" i="4"/>
  <c r="G87" i="3"/>
  <c r="C87" i="3"/>
  <c r="C87" i="1"/>
  <c r="B88" i="1" s="1"/>
  <c r="D88" i="1" s="1"/>
  <c r="G87" i="1"/>
  <c r="E87" i="1"/>
  <c r="G64" i="4" l="1"/>
  <c r="C64" i="4"/>
  <c r="E64" i="4" s="1"/>
  <c r="B88" i="3"/>
  <c r="D88" i="3" s="1"/>
  <c r="I87" i="3"/>
  <c r="H88" i="3"/>
  <c r="E87" i="3"/>
  <c r="H88" i="1"/>
  <c r="I64" i="4" l="1"/>
  <c r="B65" i="4"/>
  <c r="G88" i="3"/>
  <c r="C88" i="3"/>
  <c r="C88" i="1"/>
  <c r="B89" i="1" s="1"/>
  <c r="D89" i="1" s="1"/>
  <c r="G88" i="1"/>
  <c r="H65" i="4" l="1"/>
  <c r="D65" i="4"/>
  <c r="B89" i="3"/>
  <c r="D89" i="3" s="1"/>
  <c r="I88" i="3"/>
  <c r="E88" i="3"/>
  <c r="H89" i="3"/>
  <c r="E88" i="1"/>
  <c r="H89" i="1"/>
  <c r="G65" i="4" l="1"/>
  <c r="C65" i="4"/>
  <c r="E65" i="4" s="1"/>
  <c r="G89" i="3"/>
  <c r="C89" i="3"/>
  <c r="C89" i="1"/>
  <c r="B90" i="1" s="1"/>
  <c r="D90" i="1" s="1"/>
  <c r="G89" i="1"/>
  <c r="I65" i="4" l="1"/>
  <c r="B66" i="4"/>
  <c r="B90" i="3"/>
  <c r="D90" i="3" s="1"/>
  <c r="I89" i="3"/>
  <c r="H90" i="3"/>
  <c r="E89" i="3"/>
  <c r="H90" i="1"/>
  <c r="E89" i="1"/>
  <c r="H66" i="4" l="1"/>
  <c r="D66" i="4"/>
  <c r="G90" i="3"/>
  <c r="C90" i="3"/>
  <c r="C90" i="1"/>
  <c r="E90" i="1" s="1"/>
  <c r="G90" i="1"/>
  <c r="G66" i="4" l="1"/>
  <c r="C66" i="4"/>
  <c r="E90" i="3"/>
  <c r="I90" i="3"/>
  <c r="I66" i="4" l="1"/>
  <c r="B67" i="4"/>
  <c r="E66" i="4"/>
  <c r="H67" i="4" l="1"/>
  <c r="D67" i="4"/>
  <c r="G67" i="4" l="1"/>
  <c r="C67" i="4"/>
  <c r="I67" i="4" l="1"/>
  <c r="B68" i="4"/>
  <c r="E67" i="4"/>
  <c r="D68" i="4" l="1"/>
  <c r="H68" i="4"/>
  <c r="G68" i="4" l="1"/>
  <c r="C68" i="4"/>
  <c r="I68" i="4" l="1"/>
  <c r="B69" i="4"/>
  <c r="E68" i="4"/>
  <c r="D69" i="4" l="1"/>
  <c r="H69" i="4"/>
  <c r="G69" i="4" l="1"/>
  <c r="C69" i="4"/>
  <c r="I69" i="4" l="1"/>
  <c r="B70" i="4"/>
  <c r="E69" i="4"/>
  <c r="D70" i="4" l="1"/>
  <c r="H70" i="4"/>
  <c r="G70" i="4" l="1"/>
  <c r="C70" i="4"/>
  <c r="B71" i="4" s="1"/>
  <c r="I70" i="4" l="1"/>
  <c r="E70" i="4"/>
  <c r="D71" i="4" l="1"/>
  <c r="H71" i="4"/>
  <c r="G71" i="4" l="1"/>
  <c r="C71" i="4"/>
  <c r="I71" i="4" l="1"/>
  <c r="B72" i="4"/>
  <c r="E71" i="4"/>
  <c r="H72" i="4" l="1"/>
  <c r="D72" i="4"/>
  <c r="G72" i="4" l="1"/>
  <c r="C72" i="4"/>
  <c r="I72" i="4" l="1"/>
  <c r="B73" i="4"/>
  <c r="E72" i="4"/>
  <c r="H73" i="4" l="1"/>
  <c r="D73" i="4"/>
  <c r="G73" i="4" l="1"/>
  <c r="C73" i="4"/>
  <c r="I73" i="4" l="1"/>
  <c r="B74" i="4"/>
  <c r="E73" i="4"/>
  <c r="H74" i="4" l="1"/>
  <c r="D74" i="4"/>
  <c r="G74" i="4" l="1"/>
  <c r="C74" i="4"/>
  <c r="I74" i="4" l="1"/>
  <c r="B75" i="4"/>
  <c r="E74" i="4"/>
  <c r="H75" i="4" l="1"/>
  <c r="D75" i="4"/>
  <c r="G75" i="4" l="1"/>
  <c r="C75" i="4"/>
  <c r="I75" i="4" l="1"/>
  <c r="B76" i="4"/>
  <c r="E75" i="4"/>
  <c r="D76" i="4" l="1"/>
  <c r="H76" i="4"/>
  <c r="G76" i="4" l="1"/>
  <c r="C76" i="4"/>
  <c r="E76" i="4" s="1"/>
  <c r="I76" i="4" l="1"/>
  <c r="B77" i="4"/>
  <c r="D77" i="4" l="1"/>
  <c r="H77" i="4"/>
  <c r="G77" i="4" l="1"/>
  <c r="C77" i="4"/>
  <c r="I77" i="4" l="1"/>
  <c r="B78" i="4"/>
  <c r="E77" i="4"/>
  <c r="D78" i="4" l="1"/>
  <c r="H78" i="4"/>
  <c r="G78" i="4" l="1"/>
  <c r="C78" i="4"/>
  <c r="I78" i="4" l="1"/>
  <c r="B79" i="4"/>
  <c r="E78" i="4"/>
  <c r="D79" i="4" l="1"/>
  <c r="H79" i="4"/>
  <c r="G79" i="4" l="1"/>
  <c r="C79" i="4"/>
  <c r="I79" i="4" l="1"/>
  <c r="B80" i="4"/>
  <c r="E79" i="4"/>
  <c r="H80" i="4" l="1"/>
  <c r="D80" i="4"/>
  <c r="G80" i="4" l="1"/>
  <c r="C80" i="4"/>
  <c r="I80" i="4" l="1"/>
  <c r="B81" i="4"/>
  <c r="E80" i="4"/>
  <c r="H81" i="4" l="1"/>
  <c r="D81" i="4"/>
  <c r="G81" i="4" l="1"/>
  <c r="C81" i="4"/>
  <c r="I81" i="4" l="1"/>
  <c r="B82" i="4"/>
  <c r="E81" i="4"/>
  <c r="H82" i="4" l="1"/>
  <c r="D82" i="4"/>
  <c r="G82" i="4" l="1"/>
  <c r="C82" i="4"/>
  <c r="I82" i="4" l="1"/>
  <c r="B83" i="4"/>
  <c r="E82" i="4"/>
  <c r="H83" i="4" l="1"/>
  <c r="D83" i="4"/>
  <c r="G83" i="4" l="1"/>
  <c r="C83" i="4"/>
  <c r="I83" i="4" l="1"/>
  <c r="B84" i="4"/>
  <c r="E83" i="4"/>
  <c r="D84" i="4" l="1"/>
  <c r="H84" i="4"/>
  <c r="G84" i="4" l="1"/>
  <c r="C84" i="4"/>
  <c r="I84" i="4" l="1"/>
  <c r="B85" i="4"/>
  <c r="E84" i="4"/>
  <c r="D85" i="4" l="1"/>
  <c r="H85" i="4"/>
  <c r="G85" i="4" l="1"/>
  <c r="C85" i="4"/>
  <c r="I85" i="4" l="1"/>
  <c r="B86" i="4"/>
  <c r="E85" i="4"/>
  <c r="D86" i="4" l="1"/>
  <c r="H86" i="4"/>
  <c r="G86" i="4" l="1"/>
  <c r="C86" i="4"/>
  <c r="I86" i="4" l="1"/>
  <c r="B87" i="4"/>
  <c r="E86" i="4"/>
  <c r="D87" i="4" l="1"/>
  <c r="H87" i="4"/>
  <c r="G87" i="4" l="1"/>
  <c r="C87" i="4"/>
  <c r="I87" i="4" l="1"/>
  <c r="B88" i="4"/>
  <c r="E87" i="4"/>
  <c r="H88" i="4" l="1"/>
  <c r="D88" i="4"/>
  <c r="G88" i="4" l="1"/>
  <c r="C88" i="4"/>
  <c r="I88" i="4" l="1"/>
  <c r="B89" i="4"/>
  <c r="E88" i="4"/>
  <c r="H89" i="4" l="1"/>
  <c r="D89" i="4"/>
  <c r="G89" i="4" l="1"/>
  <c r="C89" i="4"/>
  <c r="I89" i="4" l="1"/>
  <c r="B90" i="4"/>
  <c r="E89" i="4"/>
  <c r="H90" i="4" l="1"/>
  <c r="D90" i="4"/>
  <c r="G90" i="4" l="1"/>
  <c r="C90" i="4"/>
  <c r="I90" i="4" s="1"/>
  <c r="E9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E11" authorId="0" shapeId="0" xr:uid="{6FC3F466-8525-45B0-BD8B-4FC7D491DE4C}">
      <text>
        <r>
          <rPr>
            <sz val="9"/>
            <color indexed="81"/>
            <rFont val="Tahoma"/>
            <family val="2"/>
          </rPr>
          <t>Tasa de ahorro</t>
        </r>
      </text>
    </comment>
    <comment ref="C15" authorId="0" shapeId="0" xr:uid="{8701BDEB-2DD7-4CA6-AD9B-54C2F1E521E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I=S=sY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E11" authorId="0" shapeId="0" xr:uid="{23DB777B-5E5D-4F7A-BD8F-3FA96DB757BD}">
      <text>
        <r>
          <rPr>
            <sz val="9"/>
            <color indexed="81"/>
            <rFont val="Tahoma"/>
            <family val="2"/>
          </rPr>
          <t>Tasa de ahorro</t>
        </r>
      </text>
    </comment>
    <comment ref="C15" authorId="0" shapeId="0" xr:uid="{5E83E000-50B0-4F7B-A485-0EBEDC656E5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I=S=sY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E11" authorId="0" shapeId="0" xr:uid="{B6DCFAAA-2E1D-4877-8A74-2739A3B36DF9}">
      <text>
        <r>
          <rPr>
            <sz val="9"/>
            <color indexed="81"/>
            <rFont val="Tahoma"/>
            <family val="2"/>
          </rPr>
          <t>Tasa de ahorro</t>
        </r>
      </text>
    </comment>
    <comment ref="C15" authorId="0" shapeId="0" xr:uid="{ACDB6B1A-9813-49EC-97A9-34AA9F4B58E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I=S=sY</t>
        </r>
      </text>
    </comment>
    <comment ref="B46" authorId="0" shapeId="0" xr:uid="{9F542F06-6B37-4C48-8982-08AA6737704B}">
      <text>
        <r>
          <rPr>
            <sz val="9"/>
            <color indexed="81"/>
            <rFont val="Tahoma"/>
            <charset val="1"/>
          </rPr>
          <t>Choque</t>
        </r>
      </text>
    </comment>
  </commentList>
</comments>
</file>

<file path=xl/sharedStrings.xml><?xml version="1.0" encoding="utf-8"?>
<sst xmlns="http://schemas.openxmlformats.org/spreadsheetml/2006/main" count="86" uniqueCount="27">
  <si>
    <t xml:space="preserve"> Parametrización</t>
  </si>
  <si>
    <t>Estado estacionario</t>
  </si>
  <si>
    <t>δ</t>
  </si>
  <si>
    <t>α</t>
  </si>
  <si>
    <t>A</t>
  </si>
  <si>
    <t>η</t>
  </si>
  <si>
    <t>r</t>
  </si>
  <si>
    <t>w</t>
  </si>
  <si>
    <t>L</t>
  </si>
  <si>
    <t>Y</t>
  </si>
  <si>
    <t>K</t>
  </si>
  <si>
    <t>C</t>
  </si>
  <si>
    <t>I</t>
  </si>
  <si>
    <t>t</t>
  </si>
  <si>
    <r>
      <t>K</t>
    </r>
    <r>
      <rPr>
        <vertAlign val="subscript"/>
        <sz val="11"/>
        <color rgb="FF000000"/>
        <rFont val="Aptos Display"/>
        <scheme val="major"/>
      </rPr>
      <t>0</t>
    </r>
  </si>
  <si>
    <r>
      <t>I</t>
    </r>
    <r>
      <rPr>
        <vertAlign val="subscript"/>
        <sz val="11"/>
        <color rgb="FF000000"/>
        <rFont val="Aptos Display"/>
        <scheme val="major"/>
      </rPr>
      <t>0</t>
    </r>
  </si>
  <si>
    <t>θ</t>
  </si>
  <si>
    <t>β</t>
  </si>
  <si>
    <t>s</t>
  </si>
  <si>
    <t>Simulación</t>
  </si>
  <si>
    <r>
      <t xml:space="preserve">CALIBRACIÓN RBC BÁSICO
</t>
    </r>
    <r>
      <rPr>
        <b/>
        <sz val="11"/>
        <color rgb="FF3F3F76"/>
        <rFont val="Aptos Narrow"/>
        <scheme val="minor"/>
      </rPr>
      <t>Luis Chávez, ©2025</t>
    </r>
  </si>
  <si>
    <t>g_y</t>
  </si>
  <si>
    <t>g_k</t>
  </si>
  <si>
    <r>
      <t xml:space="preserve">RBC BÁSICO (shock en A)
</t>
    </r>
    <r>
      <rPr>
        <b/>
        <sz val="11"/>
        <color rgb="FF3F3F76"/>
        <rFont val="Aptos Narrow"/>
        <scheme val="minor"/>
      </rPr>
      <t>Luis Chávez, ©2025</t>
    </r>
  </si>
  <si>
    <t>shock A</t>
  </si>
  <si>
    <r>
      <t xml:space="preserve">RBC BÁSICO (shock en K)
</t>
    </r>
    <r>
      <rPr>
        <b/>
        <sz val="11"/>
        <color rgb="FF3F3F76"/>
        <rFont val="Aptos Narrow"/>
        <scheme val="minor"/>
      </rPr>
      <t>Luis Chávez, ©2025</t>
    </r>
  </si>
  <si>
    <t>shock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</si>
</sst>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>
    <font>
      <sz val="11"/>
      <name val="Aptos Narrow"/>
    </font>
    <font>
      <sz val="11"/>
      <color rgb="FF006100"/>
      <name val="Aptos Narrow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3F3F76"/>
      <name val="Aptos Narrow"/>
      <family val="2"/>
      <scheme val="minor"/>
    </font>
    <font>
      <sz val="11"/>
      <color rgb="FF000000"/>
      <name val="Aptos Display"/>
      <scheme val="major"/>
    </font>
    <font>
      <vertAlign val="subscript"/>
      <sz val="11"/>
      <color rgb="FF000000"/>
      <name val="Aptos Display"/>
      <scheme val="major"/>
    </font>
    <font>
      <sz val="11"/>
      <name val="Aptos Display"/>
      <scheme val="major"/>
    </font>
    <font>
      <sz val="11"/>
      <color rgb="FF000000"/>
      <name val="Calibri"/>
      <family val="2"/>
    </font>
    <font>
      <sz val="11"/>
      <color rgb="FF00B0F0"/>
      <name val="Aptos Display"/>
      <scheme val="major"/>
    </font>
    <font>
      <b/>
      <sz val="11"/>
      <color rgb="FF3F3F76"/>
      <name val="Aptos Narrow"/>
      <scheme val="minor"/>
    </font>
    <font>
      <b/>
      <sz val="14"/>
      <color rgb="FF3F3F76"/>
      <name val="Aptos Narrow"/>
      <scheme val="minor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>
      <alignment vertical="center"/>
    </xf>
    <xf numFmtId="0" fontId="1" fillId="2" borderId="0">
      <alignment vertical="top"/>
      <protection locked="0"/>
    </xf>
    <xf numFmtId="0" fontId="4" fillId="4" borderId="2" applyNumberFormat="0" applyAlignment="0" applyProtection="0"/>
  </cellStyleXfs>
  <cellXfs count="22">
    <xf numFmtId="0" fontId="0" fillId="0" borderId="0" xfId="0">
      <alignment vertical="center"/>
    </xf>
    <xf numFmtId="0" fontId="5" fillId="0" borderId="0" xfId="0" applyFont="1" applyAlignment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right" indent="1"/>
    </xf>
    <xf numFmtId="0" fontId="5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/>
    </xf>
    <xf numFmtId="164" fontId="7" fillId="3" borderId="0" xfId="0" applyNumberFormat="1" applyFont="1" applyFill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10" fillId="4" borderId="2" xfId="2" applyFont="1" applyAlignment="1" applyProtection="1">
      <alignment horizontal="center"/>
    </xf>
    <xf numFmtId="0" fontId="10" fillId="4" borderId="2" xfId="2" applyFont="1" applyAlignment="1" applyProtection="1">
      <alignment horizontal="center"/>
    </xf>
    <xf numFmtId="0" fontId="5" fillId="0" borderId="0" xfId="0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0" fontId="10" fillId="4" borderId="3" xfId="2" applyFont="1" applyBorder="1" applyAlignment="1" applyProtection="1">
      <alignment horizontal="center"/>
    </xf>
    <xf numFmtId="0" fontId="10" fillId="4" borderId="0" xfId="2" applyFont="1" applyBorder="1" applyAlignment="1" applyProtection="1">
      <alignment horizontal="center"/>
    </xf>
    <xf numFmtId="0" fontId="11" fillId="4" borderId="3" xfId="2" applyFont="1" applyBorder="1" applyAlignment="1" applyProtection="1">
      <alignment horizontal="center" vertical="center" wrapText="1"/>
    </xf>
    <xf numFmtId="0" fontId="11" fillId="4" borderId="0" xfId="2" applyFont="1" applyBorder="1" applyAlignment="1" applyProtection="1">
      <alignment horizontal="center" vertical="center" wrapText="1"/>
    </xf>
    <xf numFmtId="164" fontId="5" fillId="3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/>
    </xf>
  </cellXfs>
  <cellStyles count="3">
    <cellStyle name="Bueno" xfId="1" xr:uid="{00000000-0005-0000-0000-000001000000}"/>
    <cellStyle name="Entrada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PBI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calibration!$D$15</c:f>
              <c:strCache>
                <c:ptCount val="1"/>
                <c:pt idx="0">
                  <c:v>Y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calibration!$A$16:$A$90</c:f>
              <c:numCache>
                <c:formatCode>General</c:formatCode>
                <c:ptCount val="7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  <c:pt idx="68">
                  <c:v>2028</c:v>
                </c:pt>
                <c:pt idx="69">
                  <c:v>2029</c:v>
                </c:pt>
                <c:pt idx="70">
                  <c:v>2030</c:v>
                </c:pt>
                <c:pt idx="71">
                  <c:v>2031</c:v>
                </c:pt>
                <c:pt idx="72">
                  <c:v>2032</c:v>
                </c:pt>
                <c:pt idx="73">
                  <c:v>2033</c:v>
                </c:pt>
                <c:pt idx="74">
                  <c:v>2034</c:v>
                </c:pt>
              </c:numCache>
            </c:numRef>
          </c:cat>
          <c:val>
            <c:numRef>
              <c:f>calibration!$D$16:$D$90</c:f>
              <c:numCache>
                <c:formatCode>0.0000</c:formatCode>
                <c:ptCount val="75"/>
                <c:pt idx="0">
                  <c:v>0.8663657714024191</c:v>
                </c:pt>
                <c:pt idx="1">
                  <c:v>0.86721015416541747</c:v>
                </c:pt>
                <c:pt idx="2">
                  <c:v>0.86802817476229777</c:v>
                </c:pt>
                <c:pt idx="3">
                  <c:v>0.86882087692247667</c:v>
                </c:pt>
                <c:pt idx="4">
                  <c:v>0.86958924945141525</c:v>
                </c:pt>
                <c:pt idx="5">
                  <c:v>0.87033422999675081</c:v>
                </c:pt>
                <c:pt idx="6">
                  <c:v>0.87105670849454164</c:v>
                </c:pt>
                <c:pt idx="7">
                  <c:v>0.87175753032784875</c:v>
                </c:pt>
                <c:pt idx="8">
                  <c:v>0.8724374992261329</c:v>
                </c:pt>
                <c:pt idx="9">
                  <c:v>0.87309737993071401</c:v>
                </c:pt>
                <c:pt idx="10">
                  <c:v>0.87373790064869439</c:v>
                </c:pt>
                <c:pt idx="11">
                  <c:v>0.8743597553152882</c:v>
                </c:pt>
                <c:pt idx="12">
                  <c:v>0.87496360568232745</c:v>
                </c:pt>
                <c:pt idx="13">
                  <c:v>0.87555008324881622</c:v>
                </c:pt>
                <c:pt idx="14">
                  <c:v>0.87611979104773652</c:v>
                </c:pt>
                <c:pt idx="15">
                  <c:v>0.87667330530183518</c:v>
                </c:pt>
                <c:pt idx="16">
                  <c:v>0.87721117695982176</c:v>
                </c:pt>
                <c:pt idx="17">
                  <c:v>0.87773393312325498</c:v>
                </c:pt>
                <c:pt idx="18">
                  <c:v>0.87824207837338109</c:v>
                </c:pt>
                <c:pt idx="19">
                  <c:v>0.87873609600627578</c:v>
                </c:pt>
                <c:pt idx="20">
                  <c:v>0.87921644918383945</c:v>
                </c:pt>
                <c:pt idx="21">
                  <c:v>0.87968358200747965</c:v>
                </c:pt>
                <c:pt idx="22">
                  <c:v>0.88013792052066764</c:v>
                </c:pt>
                <c:pt idx="23">
                  <c:v>0.88057987364599188</c:v>
                </c:pt>
                <c:pt idx="24">
                  <c:v>0.88100983406180955</c:v>
                </c:pt>
                <c:pt idx="25">
                  <c:v>0.8814281790231453</c:v>
                </c:pt>
                <c:pt idx="26">
                  <c:v>0.88183527113106686</c:v>
                </c:pt>
                <c:pt idx="27">
                  <c:v>0.8822314590544007</c:v>
                </c:pt>
                <c:pt idx="28">
                  <c:v>0.88261707820731228</c:v>
                </c:pt>
                <c:pt idx="29">
                  <c:v>0.88299245138597626</c:v>
                </c:pt>
                <c:pt idx="30">
                  <c:v>0.88335788936728799</c:v>
                </c:pt>
                <c:pt idx="31">
                  <c:v>0.88371369147232348</c:v>
                </c:pt>
                <c:pt idx="32">
                  <c:v>0.88406014609702599</c:v>
                </c:pt>
                <c:pt idx="33">
                  <c:v>0.88439753121240405</c:v>
                </c:pt>
                <c:pt idx="34">
                  <c:v>0.88472611483633257</c:v>
                </c:pt>
                <c:pt idx="35">
                  <c:v>0.88504615547888976</c:v>
                </c:pt>
                <c:pt idx="36">
                  <c:v>0.8853579025630034</c:v>
                </c:pt>
                <c:pt idx="37">
                  <c:v>0.88566159682204948</c:v>
                </c:pt>
                <c:pt idx="38">
                  <c:v>0.88595747067591235</c:v>
                </c:pt>
                <c:pt idx="39">
                  <c:v>0.8862457485869073</c:v>
                </c:pt>
                <c:pt idx="40">
                  <c:v>0.88652664739685505</c:v>
                </c:pt>
                <c:pt idx="41">
                  <c:v>0.88680037664650613</c:v>
                </c:pt>
                <c:pt idx="42">
                  <c:v>0.88706713887842381</c:v>
                </c:pt>
                <c:pt idx="43">
                  <c:v>0.88732712992435081</c:v>
                </c:pt>
                <c:pt idx="44">
                  <c:v>0.88758053917801449</c:v>
                </c:pt>
                <c:pt idx="45">
                  <c:v>0.88782754985425716</c:v>
                </c:pt>
                <c:pt idx="46">
                  <c:v>0.88806833923531081</c:v>
                </c:pt>
                <c:pt idx="47">
                  <c:v>0.88830307890498461</c:v>
                </c:pt>
                <c:pt idx="48">
                  <c:v>0.88853193497147542</c:v>
                </c:pt>
                <c:pt idx="49">
                  <c:v>0.88875506827946693</c:v>
                </c:pt>
                <c:pt idx="50">
                  <c:v>0.88897263461213305</c:v>
                </c:pt>
                <c:pt idx="51">
                  <c:v>0.88918478488362562</c:v>
                </c:pt>
                <c:pt idx="52">
                  <c:v>0.88939166532258318</c:v>
                </c:pt>
                <c:pt idx="53">
                  <c:v>0.88959341764716338</c:v>
                </c:pt>
                <c:pt idx="54">
                  <c:v>0.8897901792320706</c:v>
                </c:pt>
                <c:pt idx="55">
                  <c:v>0.88998208326801986</c:v>
                </c:pt>
                <c:pt idx="56">
                  <c:v>0.89016925891404519</c:v>
                </c:pt>
                <c:pt idx="57">
                  <c:v>0.8903518314430402</c:v>
                </c:pt>
                <c:pt idx="58">
                  <c:v>0.89052992238089457</c:v>
                </c:pt>
                <c:pt idx="59">
                  <c:v>0.8907036496395595</c:v>
                </c:pt>
                <c:pt idx="60">
                  <c:v>0.89087312764436621</c:v>
                </c:pt>
                <c:pt idx="61">
                  <c:v>0.89103846745589299</c:v>
                </c:pt>
                <c:pt idx="62">
                  <c:v>0.8911997768866603</c:v>
                </c:pt>
                <c:pt idx="63">
                  <c:v>0.89135716061292036</c:v>
                </c:pt>
                <c:pt idx="64">
                  <c:v>0.89151072028178779</c:v>
                </c:pt>
                <c:pt idx="65">
                  <c:v>0.891660554613943</c:v>
                </c:pt>
                <c:pt idx="66">
                  <c:v>0.89180675950213195</c:v>
                </c:pt>
                <c:pt idx="67">
                  <c:v>0.89194942810566402</c:v>
                </c:pt>
                <c:pt idx="68">
                  <c:v>0.89208865094110756</c:v>
                </c:pt>
                <c:pt idx="69">
                  <c:v>0.89222451596936536</c:v>
                </c:pt>
                <c:pt idx="70">
                  <c:v>0.89235710867930207</c:v>
                </c:pt>
                <c:pt idx="71">
                  <c:v>0.89248651216808916</c:v>
                </c:pt>
                <c:pt idx="72">
                  <c:v>0.89261280721842162</c:v>
                </c:pt>
                <c:pt idx="73">
                  <c:v>0.89273607237275299</c:v>
                </c:pt>
                <c:pt idx="74">
                  <c:v>0.89285638400468548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9D-47DD-B13A-777C662A2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8116608"/>
        <c:axId val="278475648"/>
      </c:lineChart>
      <c:catAx>
        <c:axId val="203811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78475648"/>
        <c:crosses val="autoZero"/>
        <c:auto val="1"/>
        <c:lblAlgn val="ctr"/>
        <c:lblOffset val="100"/>
        <c:noMultiLvlLbl val="1"/>
      </c:catAx>
      <c:valAx>
        <c:axId val="278475648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3811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Crecimiento de PBI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calibration!$A$17:$A$90</c:f>
              <c:numCache>
                <c:formatCode>General</c:formatCode>
                <c:ptCount val="74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  <c:pt idx="41">
                  <c:v>2002</c:v>
                </c:pt>
                <c:pt idx="42">
                  <c:v>2003</c:v>
                </c:pt>
                <c:pt idx="43">
                  <c:v>2004</c:v>
                </c:pt>
                <c:pt idx="44">
                  <c:v>2005</c:v>
                </c:pt>
                <c:pt idx="45">
                  <c:v>2006</c:v>
                </c:pt>
                <c:pt idx="46">
                  <c:v>2007</c:v>
                </c:pt>
                <c:pt idx="47">
                  <c:v>2008</c:v>
                </c:pt>
                <c:pt idx="48">
                  <c:v>2009</c:v>
                </c:pt>
                <c:pt idx="49">
                  <c:v>2010</c:v>
                </c:pt>
                <c:pt idx="50">
                  <c:v>2011</c:v>
                </c:pt>
                <c:pt idx="51">
                  <c:v>2012</c:v>
                </c:pt>
                <c:pt idx="52">
                  <c:v>2013</c:v>
                </c:pt>
                <c:pt idx="53">
                  <c:v>2014</c:v>
                </c:pt>
                <c:pt idx="54">
                  <c:v>2015</c:v>
                </c:pt>
                <c:pt idx="55">
                  <c:v>2016</c:v>
                </c:pt>
                <c:pt idx="56">
                  <c:v>2017</c:v>
                </c:pt>
                <c:pt idx="57">
                  <c:v>2018</c:v>
                </c:pt>
                <c:pt idx="58">
                  <c:v>2019</c:v>
                </c:pt>
                <c:pt idx="59">
                  <c:v>2020</c:v>
                </c:pt>
                <c:pt idx="60">
                  <c:v>2021</c:v>
                </c:pt>
                <c:pt idx="61">
                  <c:v>2022</c:v>
                </c:pt>
                <c:pt idx="62">
                  <c:v>2023</c:v>
                </c:pt>
                <c:pt idx="63">
                  <c:v>2024</c:v>
                </c:pt>
                <c:pt idx="64">
                  <c:v>2025</c:v>
                </c:pt>
                <c:pt idx="65">
                  <c:v>2026</c:v>
                </c:pt>
                <c:pt idx="66">
                  <c:v>2027</c:v>
                </c:pt>
                <c:pt idx="67">
                  <c:v>2028</c:v>
                </c:pt>
                <c:pt idx="68">
                  <c:v>2029</c:v>
                </c:pt>
                <c:pt idx="69">
                  <c:v>2030</c:v>
                </c:pt>
                <c:pt idx="70">
                  <c:v>2031</c:v>
                </c:pt>
                <c:pt idx="71">
                  <c:v>2032</c:v>
                </c:pt>
                <c:pt idx="72">
                  <c:v>2033</c:v>
                </c:pt>
                <c:pt idx="73">
                  <c:v>2034</c:v>
                </c:pt>
              </c:numCache>
            </c:numRef>
          </c:cat>
          <c:val>
            <c:numRef>
              <c:f>calibration!$H$17:$H$90</c:f>
              <c:numCache>
                <c:formatCode>0.0000</c:formatCode>
                <c:ptCount val="74"/>
                <c:pt idx="0">
                  <c:v>1.0882696405595027E-2</c:v>
                </c:pt>
                <c:pt idx="1">
                  <c:v>1.053099558303261E-2</c:v>
                </c:pt>
                <c:pt idx="2">
                  <c:v>1.0193884560438793E-2</c:v>
                </c:pt>
                <c:pt idx="3">
                  <c:v>9.8705579371456409E-3</c:v>
                </c:pt>
                <c:pt idx="4">
                  <c:v>9.5602678247981299E-3</c:v>
                </c:pt>
                <c:pt idx="5">
                  <c:v>9.2623187987599387E-3</c:v>
                </c:pt>
                <c:pt idx="6">
                  <c:v>8.9760633723541261E-3</c:v>
                </c:pt>
                <c:pt idx="7">
                  <c:v>8.7008979318530244E-3</c:v>
                </c:pt>
                <c:pt idx="8">
                  <c:v>8.4362590784108349E-3</c:v>
                </c:pt>
                <c:pt idx="9">
                  <c:v>8.1816203301923185E-3</c:v>
                </c:pt>
                <c:pt idx="10">
                  <c:v>7.9364891439972496E-3</c:v>
                </c:pt>
                <c:pt idx="11">
                  <c:v>7.7004042208392853E-3</c:v>
                </c:pt>
                <c:pt idx="12">
                  <c:v>7.4729330643978908E-3</c:v>
                </c:pt>
                <c:pt idx="13">
                  <c:v>7.2536697650786852E-3</c:v>
                </c:pt>
                <c:pt idx="14">
                  <c:v>7.0422329857366961E-3</c:v>
                </c:pt>
                <c:pt idx="15">
                  <c:v>6.8382641279669532E-3</c:v>
                </c:pt>
                <c:pt idx="16">
                  <c:v>6.6414256603593014E-3</c:v>
                </c:pt>
                <c:pt idx="17">
                  <c:v>6.4513995922688139E-3</c:v>
                </c:pt>
                <c:pt idx="18">
                  <c:v>6.2678860785390089E-3</c:v>
                </c:pt>
                <c:pt idx="19">
                  <c:v>6.0906021422471035E-3</c:v>
                </c:pt>
                <c:pt idx="20">
                  <c:v>5.9192805039940399E-3</c:v>
                </c:pt>
                <c:pt idx="21">
                  <c:v>5.7536685075048055E-3</c:v>
                </c:pt>
                <c:pt idx="22">
                  <c:v>5.5935271324250024E-3</c:v>
                </c:pt>
                <c:pt idx="23">
                  <c:v>5.4386300861646308E-3</c:v>
                </c:pt>
                <c:pt idx="24">
                  <c:v>5.2887629674991388E-3</c:v>
                </c:pt>
                <c:pt idx="25">
                  <c:v>5.143722495402514E-3</c:v>
                </c:pt>
                <c:pt idx="26">
                  <c:v>5.0033157972457776E-3</c:v>
                </c:pt>
                <c:pt idx="27">
                  <c:v>4.8673597511030842E-3</c:v>
                </c:pt>
                <c:pt idx="28">
                  <c:v>4.7356803774174505E-3</c:v>
                </c:pt>
                <c:pt idx="29">
                  <c:v>4.6081122757621884E-3</c:v>
                </c:pt>
                <c:pt idx="30">
                  <c:v>4.4844981028424602E-3</c:v>
                </c:pt>
                <c:pt idx="31">
                  <c:v>4.3646880882539651E-3</c:v>
                </c:pt>
                <c:pt idx="32">
                  <c:v>4.248539584850386E-3</c:v>
                </c:pt>
                <c:pt idx="33">
                  <c:v>4.1359166508647682E-3</c:v>
                </c:pt>
                <c:pt idx="34">
                  <c:v>4.0266896612013436E-3</c:v>
                </c:pt>
                <c:pt idx="35">
                  <c:v>3.9207349455414597E-3</c:v>
                </c:pt>
                <c:pt idx="36">
                  <c:v>3.8179344511339863E-3</c:v>
                </c:pt>
                <c:pt idx="37">
                  <c:v>3.718175428325754E-3</c:v>
                </c:pt>
                <c:pt idx="38">
                  <c:v>3.6213501370572221E-3</c:v>
                </c:pt>
                <c:pt idx="39">
                  <c:v>3.5273555727144412E-3</c:v>
                </c:pt>
                <c:pt idx="40">
                  <c:v>3.4360932098596031E-3</c:v>
                </c:pt>
                <c:pt idx="41">
                  <c:v>3.3474687624921451E-3</c:v>
                </c:pt>
                <c:pt idx="42">
                  <c:v>3.2613919596116148E-3</c:v>
                </c:pt>
                <c:pt idx="43">
                  <c:v>3.1777763349489785E-3</c:v>
                </c:pt>
                <c:pt idx="44">
                  <c:v>3.0965390298363094E-3</c:v>
                </c:pt>
                <c:pt idx="45">
                  <c:v>3.0176006082629492E-3</c:v>
                </c:pt>
                <c:pt idx="46">
                  <c:v>2.9408848832455092E-3</c:v>
                </c:pt>
                <c:pt idx="47">
                  <c:v>2.8663187537161239E-3</c:v>
                </c:pt>
                <c:pt idx="48">
                  <c:v>2.7938320511851078E-3</c:v>
                </c:pt>
                <c:pt idx="49">
                  <c:v>2.7233573955052215E-3</c:v>
                </c:pt>
                <c:pt idx="50">
                  <c:v>2.6548300591073826E-3</c:v>
                </c:pt>
                <c:pt idx="51">
                  <c:v>2.5881878391373903E-3</c:v>
                </c:pt>
                <c:pt idx="52">
                  <c:v>2.5233709369547608E-3</c:v>
                </c:pt>
                <c:pt idx="53">
                  <c:v>2.4603218445058417E-3</c:v>
                </c:pt>
                <c:pt idx="54">
                  <c:v>2.3989852371189002E-3</c:v>
                </c:pt>
                <c:pt idx="55">
                  <c:v>2.3393078722944161E-3</c:v>
                </c:pt>
                <c:pt idx="56">
                  <c:v>2.2812384941071073E-3</c:v>
                </c:pt>
                <c:pt idx="57">
                  <c:v>2.2247277428557588E-3</c:v>
                </c:pt>
                <c:pt idx="58">
                  <c:v>2.1697280696291177E-3</c:v>
                </c:pt>
                <c:pt idx="59">
                  <c:v>2.1161936554736638E-3</c:v>
                </c:pt>
                <c:pt idx="60">
                  <c:v>2.0640803348814796E-3</c:v>
                </c:pt>
                <c:pt idx="61">
                  <c:v>2.0133455233215525E-3</c:v>
                </c:pt>
                <c:pt idx="62">
                  <c:v>1.9639481485758115E-3</c:v>
                </c:pt>
                <c:pt idx="63">
                  <c:v>1.9158485856405338E-3</c:v>
                </c:pt>
                <c:pt idx="64">
                  <c:v>1.8690085949810697E-3</c:v>
                </c:pt>
                <c:pt idx="65">
                  <c:v>1.8233912639387118E-3</c:v>
                </c:pt>
                <c:pt idx="66">
                  <c:v>1.7789609511027482E-3</c:v>
                </c:pt>
                <c:pt idx="67">
                  <c:v>1.7356832334733951E-3</c:v>
                </c:pt>
                <c:pt idx="68">
                  <c:v>1.6935248562501837E-3</c:v>
                </c:pt>
                <c:pt idx="69">
                  <c:v>1.6524536850972549E-3</c:v>
                </c:pt>
                <c:pt idx="70">
                  <c:v>1.6124386607427876E-3</c:v>
                </c:pt>
                <c:pt idx="71">
                  <c:v>1.5734497557775562E-3</c:v>
                </c:pt>
                <c:pt idx="72">
                  <c:v>1.5354579335284946E-3</c:v>
                </c:pt>
                <c:pt idx="73">
                  <c:v>1.4984351088969117E-3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FF-4E3F-85F1-56206DCAC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359216"/>
        <c:axId val="255359696"/>
      </c:lineChart>
      <c:catAx>
        <c:axId val="25535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5359696"/>
        <c:crosses val="autoZero"/>
        <c:auto val="1"/>
        <c:lblAlgn val="ctr"/>
        <c:lblOffset val="100"/>
        <c:noMultiLvlLbl val="0"/>
      </c:catAx>
      <c:valAx>
        <c:axId val="255359696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535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Crecimiento de 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9.2598617480507239E-2"/>
          <c:y val="0.18644457499042941"/>
          <c:w val="0.87565535077346102"/>
          <c:h val="0.64588073129765899"/>
        </c:manualLayout>
      </c:layout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calibration!$A$17:$A$90</c:f>
              <c:numCache>
                <c:formatCode>General</c:formatCode>
                <c:ptCount val="74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  <c:pt idx="41">
                  <c:v>2002</c:v>
                </c:pt>
                <c:pt idx="42">
                  <c:v>2003</c:v>
                </c:pt>
                <c:pt idx="43">
                  <c:v>2004</c:v>
                </c:pt>
                <c:pt idx="44">
                  <c:v>2005</c:v>
                </c:pt>
                <c:pt idx="45">
                  <c:v>2006</c:v>
                </c:pt>
                <c:pt idx="46">
                  <c:v>2007</c:v>
                </c:pt>
                <c:pt idx="47">
                  <c:v>2008</c:v>
                </c:pt>
                <c:pt idx="48">
                  <c:v>2009</c:v>
                </c:pt>
                <c:pt idx="49">
                  <c:v>2010</c:v>
                </c:pt>
                <c:pt idx="50">
                  <c:v>2011</c:v>
                </c:pt>
                <c:pt idx="51">
                  <c:v>2012</c:v>
                </c:pt>
                <c:pt idx="52">
                  <c:v>2013</c:v>
                </c:pt>
                <c:pt idx="53">
                  <c:v>2014</c:v>
                </c:pt>
                <c:pt idx="54">
                  <c:v>2015</c:v>
                </c:pt>
                <c:pt idx="55">
                  <c:v>2016</c:v>
                </c:pt>
                <c:pt idx="56">
                  <c:v>2017</c:v>
                </c:pt>
                <c:pt idx="57">
                  <c:v>2018</c:v>
                </c:pt>
                <c:pt idx="58">
                  <c:v>2019</c:v>
                </c:pt>
                <c:pt idx="59">
                  <c:v>2020</c:v>
                </c:pt>
                <c:pt idx="60">
                  <c:v>2021</c:v>
                </c:pt>
                <c:pt idx="61">
                  <c:v>2022</c:v>
                </c:pt>
                <c:pt idx="62">
                  <c:v>2023</c:v>
                </c:pt>
                <c:pt idx="63">
                  <c:v>2024</c:v>
                </c:pt>
                <c:pt idx="64">
                  <c:v>2025</c:v>
                </c:pt>
                <c:pt idx="65">
                  <c:v>2026</c:v>
                </c:pt>
                <c:pt idx="66">
                  <c:v>2027</c:v>
                </c:pt>
                <c:pt idx="67">
                  <c:v>2028</c:v>
                </c:pt>
                <c:pt idx="68">
                  <c:v>2029</c:v>
                </c:pt>
                <c:pt idx="69">
                  <c:v>2030</c:v>
                </c:pt>
                <c:pt idx="70">
                  <c:v>2031</c:v>
                </c:pt>
                <c:pt idx="71">
                  <c:v>2032</c:v>
                </c:pt>
                <c:pt idx="72">
                  <c:v>2033</c:v>
                </c:pt>
                <c:pt idx="73">
                  <c:v>2034</c:v>
                </c:pt>
              </c:numCache>
            </c:numRef>
          </c:cat>
          <c:val>
            <c:numRef>
              <c:f>calibration!$H$17:$H$90</c:f>
              <c:numCache>
                <c:formatCode>0.0000</c:formatCode>
                <c:ptCount val="74"/>
                <c:pt idx="0">
                  <c:v>1.0882696405595027E-2</c:v>
                </c:pt>
                <c:pt idx="1">
                  <c:v>1.053099558303261E-2</c:v>
                </c:pt>
                <c:pt idx="2">
                  <c:v>1.0193884560438793E-2</c:v>
                </c:pt>
                <c:pt idx="3">
                  <c:v>9.8705579371456409E-3</c:v>
                </c:pt>
                <c:pt idx="4">
                  <c:v>9.5602678247981299E-3</c:v>
                </c:pt>
                <c:pt idx="5">
                  <c:v>9.2623187987599387E-3</c:v>
                </c:pt>
                <c:pt idx="6">
                  <c:v>8.9760633723541261E-3</c:v>
                </c:pt>
                <c:pt idx="7">
                  <c:v>8.7008979318530244E-3</c:v>
                </c:pt>
                <c:pt idx="8">
                  <c:v>8.4362590784108349E-3</c:v>
                </c:pt>
                <c:pt idx="9">
                  <c:v>8.1816203301923185E-3</c:v>
                </c:pt>
                <c:pt idx="10">
                  <c:v>7.9364891439972496E-3</c:v>
                </c:pt>
                <c:pt idx="11">
                  <c:v>7.7004042208392853E-3</c:v>
                </c:pt>
                <c:pt idx="12">
                  <c:v>7.4729330643978908E-3</c:v>
                </c:pt>
                <c:pt idx="13">
                  <c:v>7.2536697650786852E-3</c:v>
                </c:pt>
                <c:pt idx="14">
                  <c:v>7.0422329857366961E-3</c:v>
                </c:pt>
                <c:pt idx="15">
                  <c:v>6.8382641279669532E-3</c:v>
                </c:pt>
                <c:pt idx="16">
                  <c:v>6.6414256603593014E-3</c:v>
                </c:pt>
                <c:pt idx="17">
                  <c:v>6.4513995922688139E-3</c:v>
                </c:pt>
                <c:pt idx="18">
                  <c:v>6.2678860785390089E-3</c:v>
                </c:pt>
                <c:pt idx="19">
                  <c:v>6.0906021422471035E-3</c:v>
                </c:pt>
                <c:pt idx="20">
                  <c:v>5.9192805039940399E-3</c:v>
                </c:pt>
                <c:pt idx="21">
                  <c:v>5.7536685075048055E-3</c:v>
                </c:pt>
                <c:pt idx="22">
                  <c:v>5.5935271324250024E-3</c:v>
                </c:pt>
                <c:pt idx="23">
                  <c:v>5.4386300861646308E-3</c:v>
                </c:pt>
                <c:pt idx="24">
                  <c:v>5.2887629674991388E-3</c:v>
                </c:pt>
                <c:pt idx="25">
                  <c:v>5.143722495402514E-3</c:v>
                </c:pt>
                <c:pt idx="26">
                  <c:v>5.0033157972457776E-3</c:v>
                </c:pt>
                <c:pt idx="27">
                  <c:v>4.8673597511030842E-3</c:v>
                </c:pt>
                <c:pt idx="28">
                  <c:v>4.7356803774174505E-3</c:v>
                </c:pt>
                <c:pt idx="29">
                  <c:v>4.6081122757621884E-3</c:v>
                </c:pt>
                <c:pt idx="30">
                  <c:v>4.4844981028424602E-3</c:v>
                </c:pt>
                <c:pt idx="31">
                  <c:v>4.3646880882539651E-3</c:v>
                </c:pt>
                <c:pt idx="32">
                  <c:v>4.248539584850386E-3</c:v>
                </c:pt>
                <c:pt idx="33">
                  <c:v>4.1359166508647682E-3</c:v>
                </c:pt>
                <c:pt idx="34">
                  <c:v>4.0266896612013436E-3</c:v>
                </c:pt>
                <c:pt idx="35">
                  <c:v>3.9207349455414597E-3</c:v>
                </c:pt>
                <c:pt idx="36">
                  <c:v>3.8179344511339863E-3</c:v>
                </c:pt>
                <c:pt idx="37">
                  <c:v>3.718175428325754E-3</c:v>
                </c:pt>
                <c:pt idx="38">
                  <c:v>3.6213501370572221E-3</c:v>
                </c:pt>
                <c:pt idx="39">
                  <c:v>3.5273555727144412E-3</c:v>
                </c:pt>
                <c:pt idx="40">
                  <c:v>3.4360932098596031E-3</c:v>
                </c:pt>
                <c:pt idx="41">
                  <c:v>3.3474687624921451E-3</c:v>
                </c:pt>
                <c:pt idx="42">
                  <c:v>3.2613919596116148E-3</c:v>
                </c:pt>
                <c:pt idx="43">
                  <c:v>3.1777763349489785E-3</c:v>
                </c:pt>
                <c:pt idx="44">
                  <c:v>3.0965390298363094E-3</c:v>
                </c:pt>
                <c:pt idx="45">
                  <c:v>3.0176006082629492E-3</c:v>
                </c:pt>
                <c:pt idx="46">
                  <c:v>2.9408848832455092E-3</c:v>
                </c:pt>
                <c:pt idx="47">
                  <c:v>2.8663187537161239E-3</c:v>
                </c:pt>
                <c:pt idx="48">
                  <c:v>2.7938320511851078E-3</c:v>
                </c:pt>
                <c:pt idx="49">
                  <c:v>2.7233573955052215E-3</c:v>
                </c:pt>
                <c:pt idx="50">
                  <c:v>2.6548300591073826E-3</c:v>
                </c:pt>
                <c:pt idx="51">
                  <c:v>2.5881878391373903E-3</c:v>
                </c:pt>
                <c:pt idx="52">
                  <c:v>2.5233709369547608E-3</c:v>
                </c:pt>
                <c:pt idx="53">
                  <c:v>2.4603218445058417E-3</c:v>
                </c:pt>
                <c:pt idx="54">
                  <c:v>2.3989852371189002E-3</c:v>
                </c:pt>
                <c:pt idx="55">
                  <c:v>2.3393078722944161E-3</c:v>
                </c:pt>
                <c:pt idx="56">
                  <c:v>2.2812384941071073E-3</c:v>
                </c:pt>
                <c:pt idx="57">
                  <c:v>2.2247277428557588E-3</c:v>
                </c:pt>
                <c:pt idx="58">
                  <c:v>2.1697280696291177E-3</c:v>
                </c:pt>
                <c:pt idx="59">
                  <c:v>2.1161936554736638E-3</c:v>
                </c:pt>
                <c:pt idx="60">
                  <c:v>2.0640803348814796E-3</c:v>
                </c:pt>
                <c:pt idx="61">
                  <c:v>2.0133455233215525E-3</c:v>
                </c:pt>
                <c:pt idx="62">
                  <c:v>1.9639481485758115E-3</c:v>
                </c:pt>
                <c:pt idx="63">
                  <c:v>1.9158485856405338E-3</c:v>
                </c:pt>
                <c:pt idx="64">
                  <c:v>1.8690085949810697E-3</c:v>
                </c:pt>
                <c:pt idx="65">
                  <c:v>1.8233912639387118E-3</c:v>
                </c:pt>
                <c:pt idx="66">
                  <c:v>1.7789609511027482E-3</c:v>
                </c:pt>
                <c:pt idx="67">
                  <c:v>1.7356832334733951E-3</c:v>
                </c:pt>
                <c:pt idx="68">
                  <c:v>1.6935248562501837E-3</c:v>
                </c:pt>
                <c:pt idx="69">
                  <c:v>1.6524536850972549E-3</c:v>
                </c:pt>
                <c:pt idx="70">
                  <c:v>1.6124386607427876E-3</c:v>
                </c:pt>
                <c:pt idx="71">
                  <c:v>1.5734497557775562E-3</c:v>
                </c:pt>
                <c:pt idx="72">
                  <c:v>1.5354579335284946E-3</c:v>
                </c:pt>
                <c:pt idx="73">
                  <c:v>1.4984351088969117E-3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F4-4BB7-A1D0-7F468B07F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359216"/>
        <c:axId val="255359696"/>
      </c:lineChart>
      <c:catAx>
        <c:axId val="25535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5359696"/>
        <c:crosses val="autoZero"/>
        <c:auto val="1"/>
        <c:lblAlgn val="ctr"/>
        <c:lblOffset val="100"/>
        <c:noMultiLvlLbl val="0"/>
      </c:catAx>
      <c:valAx>
        <c:axId val="255359696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535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Consumo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calibration!$E$15</c:f>
              <c:strCache>
                <c:ptCount val="1"/>
                <c:pt idx="0">
                  <c:v>C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calibration!$A$16:$A$90</c:f>
              <c:numCache>
                <c:formatCode>General</c:formatCode>
                <c:ptCount val="7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  <c:pt idx="68">
                  <c:v>2028</c:v>
                </c:pt>
                <c:pt idx="69">
                  <c:v>2029</c:v>
                </c:pt>
                <c:pt idx="70">
                  <c:v>2030</c:v>
                </c:pt>
                <c:pt idx="71">
                  <c:v>2031</c:v>
                </c:pt>
                <c:pt idx="72">
                  <c:v>2032</c:v>
                </c:pt>
                <c:pt idx="73">
                  <c:v>2033</c:v>
                </c:pt>
                <c:pt idx="74">
                  <c:v>2034</c:v>
                </c:pt>
              </c:numCache>
            </c:numRef>
          </c:cat>
          <c:val>
            <c:numRef>
              <c:f>calibration!$E$16:$E$90</c:f>
              <c:numCache>
                <c:formatCode>0.0000</c:formatCode>
                <c:ptCount val="75"/>
                <c:pt idx="0">
                  <c:v>0.79549744600136918</c:v>
                </c:pt>
                <c:pt idx="1">
                  <c:v>0.7962727586390389</c:v>
                </c:pt>
                <c:pt idx="2">
                  <c:v>0.79702386552376892</c:v>
                </c:pt>
                <c:pt idx="3">
                  <c:v>0.79775172500838509</c:v>
                </c:pt>
                <c:pt idx="4">
                  <c:v>0.79845724501451232</c:v>
                </c:pt>
                <c:pt idx="5">
                  <c:v>0.79914128649063831</c:v>
                </c:pt>
                <c:pt idx="6">
                  <c:v>0.79980466657645732</c:v>
                </c:pt>
                <c:pt idx="7">
                  <c:v>0.80044816150308085</c:v>
                </c:pt>
                <c:pt idx="8">
                  <c:v>0.80107250925526619</c:v>
                </c:pt>
                <c:pt idx="9">
                  <c:v>0.8016784120188416</c:v>
                </c:pt>
                <c:pt idx="10">
                  <c:v>0.80226653843390017</c:v>
                </c:pt>
                <c:pt idx="11">
                  <c:v>0.80283752567207167</c:v>
                </c:pt>
                <c:pt idx="12">
                  <c:v>0.80339198135418977</c:v>
                </c:pt>
                <c:pt idx="13">
                  <c:v>0.80393048532292777</c:v>
                </c:pt>
                <c:pt idx="14">
                  <c:v>0.80445359128344429</c:v>
                </c:pt>
                <c:pt idx="15">
                  <c:v>0.8049618283237282</c:v>
                </c:pt>
                <c:pt idx="16">
                  <c:v>0.80545570232513553</c:v>
                </c:pt>
                <c:pt idx="17">
                  <c:v>0.80593569727255765</c:v>
                </c:pt>
                <c:pt idx="18">
                  <c:v>0.80640227647272467</c:v>
                </c:pt>
                <c:pt idx="19">
                  <c:v>0.80685588368831351</c:v>
                </c:pt>
                <c:pt idx="20">
                  <c:v>0.80729694419479225</c:v>
                </c:pt>
                <c:pt idx="21">
                  <c:v>0.80772586576627547</c:v>
                </c:pt>
                <c:pt idx="22">
                  <c:v>0.80814303959607259</c:v>
                </c:pt>
                <c:pt idx="23">
                  <c:v>0.80854884115709069</c:v>
                </c:pt>
                <c:pt idx="24">
                  <c:v>0.80894363100677624</c:v>
                </c:pt>
                <c:pt idx="25">
                  <c:v>0.80932775554086467</c:v>
                </c:pt>
                <c:pt idx="26">
                  <c:v>0.80970154769982161</c:v>
                </c:pt>
                <c:pt idx="27">
                  <c:v>0.81006532763152239</c:v>
                </c:pt>
                <c:pt idx="28">
                  <c:v>0.81041940331340645</c:v>
                </c:pt>
                <c:pt idx="29">
                  <c:v>0.81076407113706861</c:v>
                </c:pt>
                <c:pt idx="30">
                  <c:v>0.81109961645799555</c:v>
                </c:pt>
                <c:pt idx="31">
                  <c:v>0.81142631411293586</c:v>
                </c:pt>
                <c:pt idx="32">
                  <c:v>0.8117444289071758</c:v>
                </c:pt>
                <c:pt idx="33">
                  <c:v>0.81205421607382211</c:v>
                </c:pt>
                <c:pt idx="34">
                  <c:v>0.81235592170700965</c:v>
                </c:pt>
                <c:pt idx="35">
                  <c:v>0.81264978317081005</c:v>
                </c:pt>
                <c:pt idx="36">
                  <c:v>0.81293602948546928</c:v>
                </c:pt>
                <c:pt idx="37">
                  <c:v>0.81321488169248268</c:v>
                </c:pt>
                <c:pt idx="38">
                  <c:v>0.81348655319989405</c:v>
                </c:pt>
                <c:pt idx="39">
                  <c:v>0.81375125010910343</c:v>
                </c:pt>
                <c:pt idx="40">
                  <c:v>0.81400917152436958</c:v>
                </c:pt>
                <c:pt idx="41">
                  <c:v>0.81426050984610499</c:v>
                </c:pt>
                <c:pt idx="42">
                  <c:v>0.81450545104898364</c:v>
                </c:pt>
                <c:pt idx="43">
                  <c:v>0.81474417494580076</c:v>
                </c:pt>
                <c:pt idx="44">
                  <c:v>0.81497685543796317</c:v>
                </c:pt>
                <c:pt idx="45">
                  <c:v>0.81520366075342254</c:v>
                </c:pt>
                <c:pt idx="46">
                  <c:v>0.81542475367280498</c:v>
                </c:pt>
                <c:pt idx="47">
                  <c:v>0.81564029174444241</c:v>
                </c:pt>
                <c:pt idx="48">
                  <c:v>0.81585042748895664</c:v>
                </c:pt>
                <c:pt idx="49">
                  <c:v>0.81605530859400977</c:v>
                </c:pt>
                <c:pt idx="50">
                  <c:v>0.81625507809978282</c:v>
                </c:pt>
                <c:pt idx="51">
                  <c:v>0.81644987457571894</c:v>
                </c:pt>
                <c:pt idx="52">
                  <c:v>0.81663983228902048</c:v>
                </c:pt>
                <c:pt idx="53">
                  <c:v>0.81682508136536458</c:v>
                </c:pt>
                <c:pt idx="54">
                  <c:v>0.81700574794226721</c:v>
                </c:pt>
                <c:pt idx="55">
                  <c:v>0.81718195431550356</c:v>
                </c:pt>
                <c:pt idx="56">
                  <c:v>0.81735381907895766</c:v>
                </c:pt>
                <c:pt idx="57">
                  <c:v>0.81752145725825742</c:v>
                </c:pt>
                <c:pt idx="58">
                  <c:v>0.81768498043853022</c:v>
                </c:pt>
                <c:pt idx="59">
                  <c:v>0.81784449688658312</c:v>
                </c:pt>
                <c:pt idx="60">
                  <c:v>0.81800011166780762</c:v>
                </c:pt>
                <c:pt idx="61">
                  <c:v>0.81815192675807713</c:v>
                </c:pt>
                <c:pt idx="62">
                  <c:v>0.81830004115089716</c:v>
                </c:pt>
                <c:pt idx="63">
                  <c:v>0.8184445509600502</c:v>
                </c:pt>
                <c:pt idx="64">
                  <c:v>0.81858554951796303</c:v>
                </c:pt>
                <c:pt idx="65">
                  <c:v>0.81872312747000964</c:v>
                </c:pt>
                <c:pt idx="66">
                  <c:v>0.81885737286495286</c:v>
                </c:pt>
                <c:pt idx="67">
                  <c:v>0.81898837124171309</c:v>
                </c:pt>
                <c:pt idx="68">
                  <c:v>0.81911620571264465</c:v>
                </c:pt>
                <c:pt idx="69">
                  <c:v>0.81924095704348843</c:v>
                </c:pt>
                <c:pt idx="70">
                  <c:v>0.81936270373015907</c:v>
                </c:pt>
                <c:pt idx="71">
                  <c:v>0.81948152207251712</c:v>
                </c:pt>
                <c:pt idx="72">
                  <c:v>0.81959748624526996</c:v>
                </c:pt>
                <c:pt idx="73">
                  <c:v>0.81971066836613427</c:v>
                </c:pt>
                <c:pt idx="74">
                  <c:v>0.81982113856138639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53-4AEA-8F32-33EC36A83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8116608"/>
        <c:axId val="278475648"/>
      </c:lineChart>
      <c:catAx>
        <c:axId val="203811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78475648"/>
        <c:crosses val="autoZero"/>
        <c:auto val="1"/>
        <c:lblAlgn val="ctr"/>
        <c:lblOffset val="100"/>
        <c:noMultiLvlLbl val="1"/>
      </c:catAx>
      <c:valAx>
        <c:axId val="278475648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3811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PBI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shock1!$D$15</c:f>
              <c:strCache>
                <c:ptCount val="1"/>
                <c:pt idx="0">
                  <c:v>Y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shock1!$A$16:$A$90</c:f>
              <c:numCache>
                <c:formatCode>General</c:formatCode>
                <c:ptCount val="7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  <c:pt idx="68">
                  <c:v>2028</c:v>
                </c:pt>
                <c:pt idx="69">
                  <c:v>2029</c:v>
                </c:pt>
                <c:pt idx="70">
                  <c:v>2030</c:v>
                </c:pt>
                <c:pt idx="71">
                  <c:v>2031</c:v>
                </c:pt>
                <c:pt idx="72">
                  <c:v>2032</c:v>
                </c:pt>
                <c:pt idx="73">
                  <c:v>2033</c:v>
                </c:pt>
                <c:pt idx="74">
                  <c:v>2034</c:v>
                </c:pt>
              </c:numCache>
            </c:numRef>
          </c:cat>
          <c:val>
            <c:numRef>
              <c:f>shock1!$D$16:$D$90</c:f>
              <c:numCache>
                <c:formatCode>0.0000</c:formatCode>
                <c:ptCount val="75"/>
                <c:pt idx="0">
                  <c:v>0.8663657714024191</c:v>
                </c:pt>
                <c:pt idx="1">
                  <c:v>0.86721015416541747</c:v>
                </c:pt>
                <c:pt idx="2">
                  <c:v>0.86802817476229777</c:v>
                </c:pt>
                <c:pt idx="3">
                  <c:v>0.86882087692247667</c:v>
                </c:pt>
                <c:pt idx="4">
                  <c:v>0.86958924945141525</c:v>
                </c:pt>
                <c:pt idx="5">
                  <c:v>0.87033422999675081</c:v>
                </c:pt>
                <c:pt idx="6">
                  <c:v>0.87105670849454164</c:v>
                </c:pt>
                <c:pt idx="7">
                  <c:v>0.87175753032784875</c:v>
                </c:pt>
                <c:pt idx="8">
                  <c:v>0.8724374992261329</c:v>
                </c:pt>
                <c:pt idx="9">
                  <c:v>0.87309737993071401</c:v>
                </c:pt>
                <c:pt idx="10">
                  <c:v>0.87373790064869439</c:v>
                </c:pt>
                <c:pt idx="11">
                  <c:v>0.8743597553152882</c:v>
                </c:pt>
                <c:pt idx="12">
                  <c:v>0.87496360568232745</c:v>
                </c:pt>
                <c:pt idx="13">
                  <c:v>0.87555008324881622</c:v>
                </c:pt>
                <c:pt idx="14">
                  <c:v>0.87611979104773652</c:v>
                </c:pt>
                <c:pt idx="15">
                  <c:v>0.87667330530183518</c:v>
                </c:pt>
                <c:pt idx="16">
                  <c:v>0.87721117695982176</c:v>
                </c:pt>
                <c:pt idx="17">
                  <c:v>0.87773393312325498</c:v>
                </c:pt>
                <c:pt idx="18">
                  <c:v>0.92215418229205026</c:v>
                </c:pt>
                <c:pt idx="19">
                  <c:v>0.87885888206931806</c:v>
                </c:pt>
                <c:pt idx="20">
                  <c:v>0.87933584972062029</c:v>
                </c:pt>
                <c:pt idx="21">
                  <c:v>0.87979970646048444</c:v>
                </c:pt>
                <c:pt idx="22">
                  <c:v>0.88025087391531764</c:v>
                </c:pt>
                <c:pt idx="23">
                  <c:v>0.88068975681792194</c:v>
                </c:pt>
                <c:pt idx="24">
                  <c:v>0.88111674386962269</c:v>
                </c:pt>
                <c:pt idx="25">
                  <c:v>0.8815322085477465</c:v>
                </c:pt>
                <c:pt idx="26">
                  <c:v>0.88193650986259209</c:v>
                </c:pt>
                <c:pt idx="27">
                  <c:v>0.88232999306765891</c:v>
                </c:pt>
                <c:pt idx="28">
                  <c:v>0.88271299032658501</c:v>
                </c:pt>
                <c:pt idx="29">
                  <c:v>0.88308582133994762</c:v>
                </c:pt>
                <c:pt idx="30">
                  <c:v>0.88344879393480935</c:v>
                </c:pt>
                <c:pt idx="31">
                  <c:v>0.8838022046196623</c:v>
                </c:pt>
                <c:pt idx="32">
                  <c:v>0.88414633910719354</c:v>
                </c:pt>
                <c:pt idx="33">
                  <c:v>0.88448147280710965</c:v>
                </c:pt>
                <c:pt idx="34">
                  <c:v>0.88480787129106564</c:v>
                </c:pt>
                <c:pt idx="35">
                  <c:v>0.88512579073159536</c:v>
                </c:pt>
                <c:pt idx="36">
                  <c:v>0.88543547831677649</c:v>
                </c:pt>
                <c:pt idx="37">
                  <c:v>0.88573717264224339</c:v>
                </c:pt>
                <c:pt idx="38">
                  <c:v>0.88603110408202512</c:v>
                </c:pt>
                <c:pt idx="39">
                  <c:v>0.88631749513958169</c:v>
                </c:pt>
                <c:pt idx="40">
                  <c:v>0.88659656078030458</c:v>
                </c:pt>
                <c:pt idx="41">
                  <c:v>0.88686850874665524</c:v>
                </c:pt>
                <c:pt idx="42">
                  <c:v>0.88713353985702859</c:v>
                </c:pt>
                <c:pt idx="43">
                  <c:v>0.88739184828934892</c:v>
                </c:pt>
                <c:pt idx="44">
                  <c:v>0.88764362185033574</c:v>
                </c:pt>
                <c:pt idx="45">
                  <c:v>0.8878890422313056</c:v>
                </c:pt>
                <c:pt idx="46">
                  <c:v>0.88812828525131859</c:v>
                </c:pt>
                <c:pt idx="47">
                  <c:v>0.88836152108842414</c:v>
                </c:pt>
                <c:pt idx="48">
                  <c:v>0.8885889144996999</c:v>
                </c:pt>
                <c:pt idx="49">
                  <c:v>0.88881062503074004</c:v>
                </c:pt>
                <c:pt idx="50">
                  <c:v>0.88902680721520011</c:v>
                </c:pt>
                <c:pt idx="51">
                  <c:v>0.88923761076496188</c:v>
                </c:pt>
                <c:pt idx="52">
                  <c:v>0.88944318075145334</c:v>
                </c:pt>
                <c:pt idx="53">
                  <c:v>0.88964365777861198</c:v>
                </c:pt>
                <c:pt idx="54">
                  <c:v>0.88983917814795921</c:v>
                </c:pt>
                <c:pt idx="55">
                  <c:v>0.89002987401621614</c:v>
                </c:pt>
                <c:pt idx="56">
                  <c:v>0.89021587354586429</c:v>
                </c:pt>
                <c:pt idx="57">
                  <c:v>0.89039730104903314</c:v>
                </c:pt>
                <c:pt idx="58">
                  <c:v>0.89057427712506942</c:v>
                </c:pt>
                <c:pt idx="59">
                  <c:v>0.89074691879211998</c:v>
                </c:pt>
                <c:pt idx="60">
                  <c:v>0.89091533961304359</c:v>
                </c:pt>
                <c:pt idx="61">
                  <c:v>0.89107964981594356</c:v>
                </c:pt>
                <c:pt idx="62">
                  <c:v>0.89123995640959819</c:v>
                </c:pt>
                <c:pt idx="63">
                  <c:v>0.89139636329404814</c:v>
                </c:pt>
                <c:pt idx="64">
                  <c:v>0.89154897136658684</c:v>
                </c:pt>
                <c:pt idx="65">
                  <c:v>0.89169787862337901</c:v>
                </c:pt>
                <c:pt idx="66">
                  <c:v>0.89184318025692966</c:v>
                </c:pt>
                <c:pt idx="67">
                  <c:v>0.89198496874960276</c:v>
                </c:pt>
                <c:pt idx="68">
                  <c:v>0.89212333396338239</c:v>
                </c:pt>
                <c:pt idx="69">
                  <c:v>0.89225836322606178</c:v>
                </c:pt>
                <c:pt idx="70">
                  <c:v>0.89239014141402362</c:v>
                </c:pt>
                <c:pt idx="71">
                  <c:v>0.89251875103178135</c:v>
                </c:pt>
                <c:pt idx="72">
                  <c:v>0.89264427228842624</c:v>
                </c:pt>
                <c:pt idx="73">
                  <c:v>0.89276678317113101</c:v>
                </c:pt>
                <c:pt idx="74">
                  <c:v>0.89288635951584117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47-473F-AC05-9E6563C89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8116608"/>
        <c:axId val="278475648"/>
      </c:lineChart>
      <c:catAx>
        <c:axId val="203811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78475648"/>
        <c:crosses val="autoZero"/>
        <c:auto val="1"/>
        <c:lblAlgn val="ctr"/>
        <c:lblOffset val="100"/>
        <c:noMultiLvlLbl val="1"/>
      </c:catAx>
      <c:valAx>
        <c:axId val="278475648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3811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Crecimiento de PBI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shock1!$A$17:$A$90</c:f>
              <c:numCache>
                <c:formatCode>General</c:formatCode>
                <c:ptCount val="74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  <c:pt idx="41">
                  <c:v>2002</c:v>
                </c:pt>
                <c:pt idx="42">
                  <c:v>2003</c:v>
                </c:pt>
                <c:pt idx="43">
                  <c:v>2004</c:v>
                </c:pt>
                <c:pt idx="44">
                  <c:v>2005</c:v>
                </c:pt>
                <c:pt idx="45">
                  <c:v>2006</c:v>
                </c:pt>
                <c:pt idx="46">
                  <c:v>2007</c:v>
                </c:pt>
                <c:pt idx="47">
                  <c:v>2008</c:v>
                </c:pt>
                <c:pt idx="48">
                  <c:v>2009</c:v>
                </c:pt>
                <c:pt idx="49">
                  <c:v>2010</c:v>
                </c:pt>
                <c:pt idx="50">
                  <c:v>2011</c:v>
                </c:pt>
                <c:pt idx="51">
                  <c:v>2012</c:v>
                </c:pt>
                <c:pt idx="52">
                  <c:v>2013</c:v>
                </c:pt>
                <c:pt idx="53">
                  <c:v>2014</c:v>
                </c:pt>
                <c:pt idx="54">
                  <c:v>2015</c:v>
                </c:pt>
                <c:pt idx="55">
                  <c:v>2016</c:v>
                </c:pt>
                <c:pt idx="56">
                  <c:v>2017</c:v>
                </c:pt>
                <c:pt idx="57">
                  <c:v>2018</c:v>
                </c:pt>
                <c:pt idx="58">
                  <c:v>2019</c:v>
                </c:pt>
                <c:pt idx="59">
                  <c:v>2020</c:v>
                </c:pt>
                <c:pt idx="60">
                  <c:v>2021</c:v>
                </c:pt>
                <c:pt idx="61">
                  <c:v>2022</c:v>
                </c:pt>
                <c:pt idx="62">
                  <c:v>2023</c:v>
                </c:pt>
                <c:pt idx="63">
                  <c:v>2024</c:v>
                </c:pt>
                <c:pt idx="64">
                  <c:v>2025</c:v>
                </c:pt>
                <c:pt idx="65">
                  <c:v>2026</c:v>
                </c:pt>
                <c:pt idx="66">
                  <c:v>2027</c:v>
                </c:pt>
                <c:pt idx="67">
                  <c:v>2028</c:v>
                </c:pt>
                <c:pt idx="68">
                  <c:v>2029</c:v>
                </c:pt>
                <c:pt idx="69">
                  <c:v>2030</c:v>
                </c:pt>
                <c:pt idx="70">
                  <c:v>2031</c:v>
                </c:pt>
                <c:pt idx="71">
                  <c:v>2032</c:v>
                </c:pt>
                <c:pt idx="72">
                  <c:v>2033</c:v>
                </c:pt>
                <c:pt idx="73">
                  <c:v>2034</c:v>
                </c:pt>
              </c:numCache>
            </c:numRef>
          </c:cat>
          <c:val>
            <c:numRef>
              <c:f>shock1!$H$17:$H$90</c:f>
              <c:numCache>
                <c:formatCode>0.0000</c:formatCode>
                <c:ptCount val="74"/>
                <c:pt idx="0">
                  <c:v>1.0882696405595027E-2</c:v>
                </c:pt>
                <c:pt idx="1">
                  <c:v>1.053099558303261E-2</c:v>
                </c:pt>
                <c:pt idx="2">
                  <c:v>1.0193884560438793E-2</c:v>
                </c:pt>
                <c:pt idx="3">
                  <c:v>9.8705579371456409E-3</c:v>
                </c:pt>
                <c:pt idx="4">
                  <c:v>9.5602678247981299E-3</c:v>
                </c:pt>
                <c:pt idx="5">
                  <c:v>9.2623187987599387E-3</c:v>
                </c:pt>
                <c:pt idx="6">
                  <c:v>8.9760633723541261E-3</c:v>
                </c:pt>
                <c:pt idx="7">
                  <c:v>8.7008979318530244E-3</c:v>
                </c:pt>
                <c:pt idx="8">
                  <c:v>8.4362590784108349E-3</c:v>
                </c:pt>
                <c:pt idx="9">
                  <c:v>8.1816203301923185E-3</c:v>
                </c:pt>
                <c:pt idx="10">
                  <c:v>7.9364891439972496E-3</c:v>
                </c:pt>
                <c:pt idx="11">
                  <c:v>7.7004042208392853E-3</c:v>
                </c:pt>
                <c:pt idx="12">
                  <c:v>7.4729330643978908E-3</c:v>
                </c:pt>
                <c:pt idx="13">
                  <c:v>7.2536697650786852E-3</c:v>
                </c:pt>
                <c:pt idx="14">
                  <c:v>7.0422329857366961E-3</c:v>
                </c:pt>
                <c:pt idx="15">
                  <c:v>6.8382641279669532E-3</c:v>
                </c:pt>
                <c:pt idx="16">
                  <c:v>6.6414256603593014E-3</c:v>
                </c:pt>
                <c:pt idx="17">
                  <c:v>6.4513995922688139E-3</c:v>
                </c:pt>
                <c:pt idx="18">
                  <c:v>7.8312803824658328E-3</c:v>
                </c:pt>
                <c:pt idx="19">
                  <c:v>6.0467105283921185E-3</c:v>
                </c:pt>
                <c:pt idx="20">
                  <c:v>5.8768565509323967E-3</c:v>
                </c:pt>
                <c:pt idx="21">
                  <c:v>5.7126505000508754E-3</c:v>
                </c:pt>
                <c:pt idx="22">
                  <c:v>5.5538566579367288E-3</c:v>
                </c:pt>
                <c:pt idx="23">
                  <c:v>5.4002518164519842E-3</c:v>
                </c:pt>
                <c:pt idx="24">
                  <c:v>5.2516244578262317E-3</c:v>
                </c:pt>
                <c:pt idx="25">
                  <c:v>5.1077739990326165E-3</c:v>
                </c:pt>
                <c:pt idx="26">
                  <c:v>4.9685100941527782E-3</c:v>
                </c:pt>
                <c:pt idx="27">
                  <c:v>4.8336519895937347E-3</c:v>
                </c:pt>
                <c:pt idx="28">
                  <c:v>4.7030279275515063E-3</c:v>
                </c:pt>
                <c:pt idx="29">
                  <c:v>4.5764745935505946E-3</c:v>
                </c:pt>
                <c:pt idx="30">
                  <c:v>4.4538366043129773E-3</c:v>
                </c:pt>
                <c:pt idx="31">
                  <c:v>4.3349660325573414E-3</c:v>
                </c:pt>
                <c:pt idx="32">
                  <c:v>4.2197219656578966E-3</c:v>
                </c:pt>
                <c:pt idx="33">
                  <c:v>4.1079700953787768E-3</c:v>
                </c:pt>
                <c:pt idx="34">
                  <c:v>3.9995823361620442E-3</c:v>
                </c:pt>
                <c:pt idx="35">
                  <c:v>3.8944364696724687E-3</c:v>
                </c:pt>
                <c:pt idx="36">
                  <c:v>3.7924158135171915E-3</c:v>
                </c:pt>
                <c:pt idx="37">
                  <c:v>3.6934089122384606E-3</c:v>
                </c:pt>
                <c:pt idx="38">
                  <c:v>3.5973092488554848E-3</c:v>
                </c:pt>
                <c:pt idx="39">
                  <c:v>3.5040149753704508E-3</c:v>
                </c:pt>
                <c:pt idx="40">
                  <c:v>3.4134286608054065E-3</c:v>
                </c:pt>
                <c:pt idx="41">
                  <c:v>3.325457055444625E-3</c:v>
                </c:pt>
                <c:pt idx="42">
                  <c:v>3.24001087008563E-3</c:v>
                </c:pt>
                <c:pt idx="43">
                  <c:v>3.1570045691879933E-3</c:v>
                </c:pt>
                <c:pt idx="44">
                  <c:v>3.0763561769118208E-3</c:v>
                </c:pt>
                <c:pt idx="45">
                  <c:v>2.9979870951153398E-3</c:v>
                </c:pt>
                <c:pt idx="46">
                  <c:v>2.9218219324602668E-3</c:v>
                </c:pt>
                <c:pt idx="47">
                  <c:v>2.8477883438373652E-3</c:v>
                </c:pt>
                <c:pt idx="48">
                  <c:v>2.7758168793952098E-3</c:v>
                </c:pt>
                <c:pt idx="49">
                  <c:v>2.7058408425038039E-3</c:v>
                </c:pt>
                <c:pt idx="50">
                  <c:v>2.6377961560422047E-3</c:v>
                </c:pt>
                <c:pt idx="51">
                  <c:v>2.5716212364457203E-3</c:v>
                </c:pt>
                <c:pt idx="52">
                  <c:v>2.5072568749882063E-3</c:v>
                </c:pt>
                <c:pt idx="53">
                  <c:v>2.44464612582318E-3</c:v>
                </c:pt>
                <c:pt idx="54">
                  <c:v>2.3837342003310003E-3</c:v>
                </c:pt>
                <c:pt idx="55">
                  <c:v>2.3244683673673272E-3</c:v>
                </c:pt>
                <c:pt idx="56">
                  <c:v>2.2667978590225069E-3</c:v>
                </c:pt>
                <c:pt idx="57">
                  <c:v>2.210673781548822E-3</c:v>
                </c:pt>
                <c:pt idx="58">
                  <c:v>2.1560490311174352E-3</c:v>
                </c:pt>
                <c:pt idx="59">
                  <c:v>2.1028782141048197E-3</c:v>
                </c:pt>
                <c:pt idx="60">
                  <c:v>2.051117571628458E-3</c:v>
                </c:pt>
                <c:pt idx="61">
                  <c:v>2.0007249080638001E-3</c:v>
                </c:pt>
                <c:pt idx="62">
                  <c:v>1.9516595233033396E-3</c:v>
                </c:pt>
                <c:pt idx="63">
                  <c:v>1.9038821485255486E-3</c:v>
                </c:pt>
                <c:pt idx="64">
                  <c:v>1.8573548852653943E-3</c:v>
                </c:pt>
                <c:pt idx="65">
                  <c:v>1.8120411475899267E-3</c:v>
                </c:pt>
                <c:pt idx="66">
                  <c:v>1.767905607189757E-3</c:v>
                </c:pt>
                <c:pt idx="67">
                  <c:v>1.7249141412236657E-3</c:v>
                </c:pt>
                <c:pt idx="68">
                  <c:v>1.6830337827460351E-3</c:v>
                </c:pt>
                <c:pt idx="69">
                  <c:v>1.6422326735756609E-3</c:v>
                </c:pt>
                <c:pt idx="70">
                  <c:v>1.6024800194647248E-3</c:v>
                </c:pt>
                <c:pt idx="71">
                  <c:v>1.5637460474320353E-3</c:v>
                </c:pt>
                <c:pt idx="72">
                  <c:v>1.5260019651464063E-3</c:v>
                </c:pt>
                <c:pt idx="73">
                  <c:v>1.489219922238938E-3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9-4E3A-B5B4-B75577C79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359216"/>
        <c:axId val="255359696"/>
      </c:lineChart>
      <c:catAx>
        <c:axId val="25535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5359696"/>
        <c:crosses val="autoZero"/>
        <c:auto val="1"/>
        <c:lblAlgn val="ctr"/>
        <c:lblOffset val="100"/>
        <c:noMultiLvlLbl val="0"/>
      </c:catAx>
      <c:valAx>
        <c:axId val="255359696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535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Crecimiento de 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9.2598617480507239E-2"/>
          <c:y val="0.18644457499042941"/>
          <c:w val="0.87565535077346102"/>
          <c:h val="0.64588073129765899"/>
        </c:manualLayout>
      </c:layout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shock1!$A$17:$A$90</c:f>
              <c:numCache>
                <c:formatCode>General</c:formatCode>
                <c:ptCount val="74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  <c:pt idx="41">
                  <c:v>2002</c:v>
                </c:pt>
                <c:pt idx="42">
                  <c:v>2003</c:v>
                </c:pt>
                <c:pt idx="43">
                  <c:v>2004</c:v>
                </c:pt>
                <c:pt idx="44">
                  <c:v>2005</c:v>
                </c:pt>
                <c:pt idx="45">
                  <c:v>2006</c:v>
                </c:pt>
                <c:pt idx="46">
                  <c:v>2007</c:v>
                </c:pt>
                <c:pt idx="47">
                  <c:v>2008</c:v>
                </c:pt>
                <c:pt idx="48">
                  <c:v>2009</c:v>
                </c:pt>
                <c:pt idx="49">
                  <c:v>2010</c:v>
                </c:pt>
                <c:pt idx="50">
                  <c:v>2011</c:v>
                </c:pt>
                <c:pt idx="51">
                  <c:v>2012</c:v>
                </c:pt>
                <c:pt idx="52">
                  <c:v>2013</c:v>
                </c:pt>
                <c:pt idx="53">
                  <c:v>2014</c:v>
                </c:pt>
                <c:pt idx="54">
                  <c:v>2015</c:v>
                </c:pt>
                <c:pt idx="55">
                  <c:v>2016</c:v>
                </c:pt>
                <c:pt idx="56">
                  <c:v>2017</c:v>
                </c:pt>
                <c:pt idx="57">
                  <c:v>2018</c:v>
                </c:pt>
                <c:pt idx="58">
                  <c:v>2019</c:v>
                </c:pt>
                <c:pt idx="59">
                  <c:v>2020</c:v>
                </c:pt>
                <c:pt idx="60">
                  <c:v>2021</c:v>
                </c:pt>
                <c:pt idx="61">
                  <c:v>2022</c:v>
                </c:pt>
                <c:pt idx="62">
                  <c:v>2023</c:v>
                </c:pt>
                <c:pt idx="63">
                  <c:v>2024</c:v>
                </c:pt>
                <c:pt idx="64">
                  <c:v>2025</c:v>
                </c:pt>
                <c:pt idx="65">
                  <c:v>2026</c:v>
                </c:pt>
                <c:pt idx="66">
                  <c:v>2027</c:v>
                </c:pt>
                <c:pt idx="67">
                  <c:v>2028</c:v>
                </c:pt>
                <c:pt idx="68">
                  <c:v>2029</c:v>
                </c:pt>
                <c:pt idx="69">
                  <c:v>2030</c:v>
                </c:pt>
                <c:pt idx="70">
                  <c:v>2031</c:v>
                </c:pt>
                <c:pt idx="71">
                  <c:v>2032</c:v>
                </c:pt>
                <c:pt idx="72">
                  <c:v>2033</c:v>
                </c:pt>
                <c:pt idx="73">
                  <c:v>2034</c:v>
                </c:pt>
              </c:numCache>
            </c:numRef>
          </c:cat>
          <c:val>
            <c:numRef>
              <c:f>shock1!$H$17:$H$90</c:f>
              <c:numCache>
                <c:formatCode>0.0000</c:formatCode>
                <c:ptCount val="74"/>
                <c:pt idx="0">
                  <c:v>1.0882696405595027E-2</c:v>
                </c:pt>
                <c:pt idx="1">
                  <c:v>1.053099558303261E-2</c:v>
                </c:pt>
                <c:pt idx="2">
                  <c:v>1.0193884560438793E-2</c:v>
                </c:pt>
                <c:pt idx="3">
                  <c:v>9.8705579371456409E-3</c:v>
                </c:pt>
                <c:pt idx="4">
                  <c:v>9.5602678247981299E-3</c:v>
                </c:pt>
                <c:pt idx="5">
                  <c:v>9.2623187987599387E-3</c:v>
                </c:pt>
                <c:pt idx="6">
                  <c:v>8.9760633723541261E-3</c:v>
                </c:pt>
                <c:pt idx="7">
                  <c:v>8.7008979318530244E-3</c:v>
                </c:pt>
                <c:pt idx="8">
                  <c:v>8.4362590784108349E-3</c:v>
                </c:pt>
                <c:pt idx="9">
                  <c:v>8.1816203301923185E-3</c:v>
                </c:pt>
                <c:pt idx="10">
                  <c:v>7.9364891439972496E-3</c:v>
                </c:pt>
                <c:pt idx="11">
                  <c:v>7.7004042208392853E-3</c:v>
                </c:pt>
                <c:pt idx="12">
                  <c:v>7.4729330643978908E-3</c:v>
                </c:pt>
                <c:pt idx="13">
                  <c:v>7.2536697650786852E-3</c:v>
                </c:pt>
                <c:pt idx="14">
                  <c:v>7.0422329857366961E-3</c:v>
                </c:pt>
                <c:pt idx="15">
                  <c:v>6.8382641279669532E-3</c:v>
                </c:pt>
                <c:pt idx="16">
                  <c:v>6.6414256603593014E-3</c:v>
                </c:pt>
                <c:pt idx="17">
                  <c:v>6.4513995922688139E-3</c:v>
                </c:pt>
                <c:pt idx="18">
                  <c:v>7.8312803824658328E-3</c:v>
                </c:pt>
                <c:pt idx="19">
                  <c:v>6.0467105283921185E-3</c:v>
                </c:pt>
                <c:pt idx="20">
                  <c:v>5.8768565509323967E-3</c:v>
                </c:pt>
                <c:pt idx="21">
                  <c:v>5.7126505000508754E-3</c:v>
                </c:pt>
                <c:pt idx="22">
                  <c:v>5.5538566579367288E-3</c:v>
                </c:pt>
                <c:pt idx="23">
                  <c:v>5.4002518164519842E-3</c:v>
                </c:pt>
                <c:pt idx="24">
                  <c:v>5.2516244578262317E-3</c:v>
                </c:pt>
                <c:pt idx="25">
                  <c:v>5.1077739990326165E-3</c:v>
                </c:pt>
                <c:pt idx="26">
                  <c:v>4.9685100941527782E-3</c:v>
                </c:pt>
                <c:pt idx="27">
                  <c:v>4.8336519895937347E-3</c:v>
                </c:pt>
                <c:pt idx="28">
                  <c:v>4.7030279275515063E-3</c:v>
                </c:pt>
                <c:pt idx="29">
                  <c:v>4.5764745935505946E-3</c:v>
                </c:pt>
                <c:pt idx="30">
                  <c:v>4.4538366043129773E-3</c:v>
                </c:pt>
                <c:pt idx="31">
                  <c:v>4.3349660325573414E-3</c:v>
                </c:pt>
                <c:pt idx="32">
                  <c:v>4.2197219656578966E-3</c:v>
                </c:pt>
                <c:pt idx="33">
                  <c:v>4.1079700953787768E-3</c:v>
                </c:pt>
                <c:pt idx="34">
                  <c:v>3.9995823361620442E-3</c:v>
                </c:pt>
                <c:pt idx="35">
                  <c:v>3.8944364696724687E-3</c:v>
                </c:pt>
                <c:pt idx="36">
                  <c:v>3.7924158135171915E-3</c:v>
                </c:pt>
                <c:pt idx="37">
                  <c:v>3.6934089122384606E-3</c:v>
                </c:pt>
                <c:pt idx="38">
                  <c:v>3.5973092488554848E-3</c:v>
                </c:pt>
                <c:pt idx="39">
                  <c:v>3.5040149753704508E-3</c:v>
                </c:pt>
                <c:pt idx="40">
                  <c:v>3.4134286608054065E-3</c:v>
                </c:pt>
                <c:pt idx="41">
                  <c:v>3.325457055444625E-3</c:v>
                </c:pt>
                <c:pt idx="42">
                  <c:v>3.24001087008563E-3</c:v>
                </c:pt>
                <c:pt idx="43">
                  <c:v>3.1570045691879933E-3</c:v>
                </c:pt>
                <c:pt idx="44">
                  <c:v>3.0763561769118208E-3</c:v>
                </c:pt>
                <c:pt idx="45">
                  <c:v>2.9979870951153398E-3</c:v>
                </c:pt>
                <c:pt idx="46">
                  <c:v>2.9218219324602668E-3</c:v>
                </c:pt>
                <c:pt idx="47">
                  <c:v>2.8477883438373652E-3</c:v>
                </c:pt>
                <c:pt idx="48">
                  <c:v>2.7758168793952098E-3</c:v>
                </c:pt>
                <c:pt idx="49">
                  <c:v>2.7058408425038039E-3</c:v>
                </c:pt>
                <c:pt idx="50">
                  <c:v>2.6377961560422047E-3</c:v>
                </c:pt>
                <c:pt idx="51">
                  <c:v>2.5716212364457203E-3</c:v>
                </c:pt>
                <c:pt idx="52">
                  <c:v>2.5072568749882063E-3</c:v>
                </c:pt>
                <c:pt idx="53">
                  <c:v>2.44464612582318E-3</c:v>
                </c:pt>
                <c:pt idx="54">
                  <c:v>2.3837342003310003E-3</c:v>
                </c:pt>
                <c:pt idx="55">
                  <c:v>2.3244683673673272E-3</c:v>
                </c:pt>
                <c:pt idx="56">
                  <c:v>2.2667978590225069E-3</c:v>
                </c:pt>
                <c:pt idx="57">
                  <c:v>2.210673781548822E-3</c:v>
                </c:pt>
                <c:pt idx="58">
                  <c:v>2.1560490311174352E-3</c:v>
                </c:pt>
                <c:pt idx="59">
                  <c:v>2.1028782141048197E-3</c:v>
                </c:pt>
                <c:pt idx="60">
                  <c:v>2.051117571628458E-3</c:v>
                </c:pt>
                <c:pt idx="61">
                  <c:v>2.0007249080638001E-3</c:v>
                </c:pt>
                <c:pt idx="62">
                  <c:v>1.9516595233033396E-3</c:v>
                </c:pt>
                <c:pt idx="63">
                  <c:v>1.9038821485255486E-3</c:v>
                </c:pt>
                <c:pt idx="64">
                  <c:v>1.8573548852653943E-3</c:v>
                </c:pt>
                <c:pt idx="65">
                  <c:v>1.8120411475899267E-3</c:v>
                </c:pt>
                <c:pt idx="66">
                  <c:v>1.767905607189757E-3</c:v>
                </c:pt>
                <c:pt idx="67">
                  <c:v>1.7249141412236657E-3</c:v>
                </c:pt>
                <c:pt idx="68">
                  <c:v>1.6830337827460351E-3</c:v>
                </c:pt>
                <c:pt idx="69">
                  <c:v>1.6422326735756609E-3</c:v>
                </c:pt>
                <c:pt idx="70">
                  <c:v>1.6024800194647248E-3</c:v>
                </c:pt>
                <c:pt idx="71">
                  <c:v>1.5637460474320353E-3</c:v>
                </c:pt>
                <c:pt idx="72">
                  <c:v>1.5260019651464063E-3</c:v>
                </c:pt>
                <c:pt idx="73">
                  <c:v>1.489219922238938E-3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46-4D6B-8951-49A5305D5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359216"/>
        <c:axId val="255359696"/>
      </c:lineChart>
      <c:catAx>
        <c:axId val="25535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5359696"/>
        <c:crosses val="autoZero"/>
        <c:auto val="1"/>
        <c:lblAlgn val="ctr"/>
        <c:lblOffset val="100"/>
        <c:noMultiLvlLbl val="0"/>
      </c:catAx>
      <c:valAx>
        <c:axId val="255359696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535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Consumo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shock1!$E$15</c:f>
              <c:strCache>
                <c:ptCount val="1"/>
                <c:pt idx="0">
                  <c:v>C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shock1!$A$16:$A$90</c:f>
              <c:numCache>
                <c:formatCode>General</c:formatCode>
                <c:ptCount val="7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  <c:pt idx="68">
                  <c:v>2028</c:v>
                </c:pt>
                <c:pt idx="69">
                  <c:v>2029</c:v>
                </c:pt>
                <c:pt idx="70">
                  <c:v>2030</c:v>
                </c:pt>
                <c:pt idx="71">
                  <c:v>2031</c:v>
                </c:pt>
                <c:pt idx="72">
                  <c:v>2032</c:v>
                </c:pt>
                <c:pt idx="73">
                  <c:v>2033</c:v>
                </c:pt>
                <c:pt idx="74">
                  <c:v>2034</c:v>
                </c:pt>
              </c:numCache>
            </c:numRef>
          </c:cat>
          <c:val>
            <c:numRef>
              <c:f>shock1!$E$16:$E$90</c:f>
              <c:numCache>
                <c:formatCode>0.0000</c:formatCode>
                <c:ptCount val="75"/>
                <c:pt idx="0">
                  <c:v>0.79549744600136918</c:v>
                </c:pt>
                <c:pt idx="1">
                  <c:v>0.7962727586390389</c:v>
                </c:pt>
                <c:pt idx="2">
                  <c:v>0.79702386552376892</c:v>
                </c:pt>
                <c:pt idx="3">
                  <c:v>0.79775172500838509</c:v>
                </c:pt>
                <c:pt idx="4">
                  <c:v>0.79845724501451232</c:v>
                </c:pt>
                <c:pt idx="5">
                  <c:v>0.79914128649063831</c:v>
                </c:pt>
                <c:pt idx="6">
                  <c:v>0.79980466657645732</c:v>
                </c:pt>
                <c:pt idx="7">
                  <c:v>0.80044816150308085</c:v>
                </c:pt>
                <c:pt idx="8">
                  <c:v>0.80107250925526619</c:v>
                </c:pt>
                <c:pt idx="9">
                  <c:v>0.8016784120188416</c:v>
                </c:pt>
                <c:pt idx="10">
                  <c:v>0.80226653843390017</c:v>
                </c:pt>
                <c:pt idx="11">
                  <c:v>0.80283752567207167</c:v>
                </c:pt>
                <c:pt idx="12">
                  <c:v>0.80339198135418977</c:v>
                </c:pt>
                <c:pt idx="13">
                  <c:v>0.80393048532292777</c:v>
                </c:pt>
                <c:pt idx="14">
                  <c:v>0.80445359128344429</c:v>
                </c:pt>
                <c:pt idx="15">
                  <c:v>0.8049618283237282</c:v>
                </c:pt>
                <c:pt idx="16">
                  <c:v>0.80545570232513553</c:v>
                </c:pt>
                <c:pt idx="17">
                  <c:v>0.80593569727255765</c:v>
                </c:pt>
                <c:pt idx="18">
                  <c:v>0.84672239029636098</c:v>
                </c:pt>
                <c:pt idx="19">
                  <c:v>0.80696862590733798</c:v>
                </c:pt>
                <c:pt idx="20">
                  <c:v>0.80740657782206104</c:v>
                </c:pt>
                <c:pt idx="21">
                  <c:v>0.80783249129192858</c:v>
                </c:pt>
                <c:pt idx="22">
                  <c:v>0.8082467534544997</c:v>
                </c:pt>
                <c:pt idx="23">
                  <c:v>0.80864973593561751</c:v>
                </c:pt>
                <c:pt idx="24">
                  <c:v>0.8090417956410163</c:v>
                </c:pt>
                <c:pt idx="25">
                  <c:v>0.8094232754977474</c:v>
                </c:pt>
                <c:pt idx="26">
                  <c:v>0.80979450514923057</c:v>
                </c:pt>
                <c:pt idx="27">
                  <c:v>0.81015580160738632</c:v>
                </c:pt>
                <c:pt idx="28">
                  <c:v>0.81050746986501843</c:v>
                </c:pt>
                <c:pt idx="29">
                  <c:v>0.81084980347134272</c:v>
                </c:pt>
                <c:pt idx="30">
                  <c:v>0.81118308507330805</c:v>
                </c:pt>
                <c:pt idx="31">
                  <c:v>0.81150758692514724</c:v>
                </c:pt>
                <c:pt idx="32">
                  <c:v>0.81182357136837946</c:v>
                </c:pt>
                <c:pt idx="33">
                  <c:v>0.81213129128432293</c:v>
                </c:pt>
                <c:pt idx="34">
                  <c:v>0.81243099052099221</c:v>
                </c:pt>
                <c:pt idx="35">
                  <c:v>0.8127229042961247</c:v>
                </c:pt>
                <c:pt idx="36">
                  <c:v>0.81300725957792574</c:v>
                </c:pt>
                <c:pt idx="37">
                  <c:v>0.81328427544501558</c:v>
                </c:pt>
                <c:pt idx="38">
                  <c:v>0.81355416342693276</c:v>
                </c:pt>
                <c:pt idx="39">
                  <c:v>0.81381712782645543</c:v>
                </c:pt>
                <c:pt idx="40">
                  <c:v>0.81407336602490421</c:v>
                </c:pt>
                <c:pt idx="41">
                  <c:v>0.81432306877150162</c:v>
                </c:pt>
                <c:pt idx="42">
                  <c:v>0.81456642045778949</c:v>
                </c:pt>
                <c:pt idx="43">
                  <c:v>0.81480359937802649</c:v>
                </c:pt>
                <c:pt idx="44">
                  <c:v>0.81503477797642776</c:v>
                </c:pt>
                <c:pt idx="45">
                  <c:v>0.8152601230820431</c:v>
                </c:pt>
                <c:pt idx="46">
                  <c:v>0.8154797961320136</c:v>
                </c:pt>
                <c:pt idx="47">
                  <c:v>0.81569395338390172</c:v>
                </c:pt>
                <c:pt idx="48">
                  <c:v>0.81590274611773117</c:v>
                </c:pt>
                <c:pt idx="49">
                  <c:v>0.81610632082833934</c:v>
                </c:pt>
                <c:pt idx="50">
                  <c:v>0.816304819408599</c:v>
                </c:pt>
                <c:pt idx="51">
                  <c:v>0.81649837932402836</c:v>
                </c:pt>
                <c:pt idx="52">
                  <c:v>0.81668713377927848</c:v>
                </c:pt>
                <c:pt idx="53">
                  <c:v>0.81687121187694911</c:v>
                </c:pt>
                <c:pt idx="54">
                  <c:v>0.81705073876915901</c:v>
                </c:pt>
                <c:pt idx="55">
                  <c:v>0.81722583580226993</c:v>
                </c:pt>
                <c:pt idx="56">
                  <c:v>0.81739662065513075</c:v>
                </c:pt>
                <c:pt idx="57">
                  <c:v>0.81756320747119526</c:v>
                </c:pt>
                <c:pt idx="58">
                  <c:v>0.81772570698483871</c:v>
                </c:pt>
                <c:pt idx="59">
                  <c:v>0.81788422664217675</c:v>
                </c:pt>
                <c:pt idx="60">
                  <c:v>0.81803887071667813</c:v>
                </c:pt>
                <c:pt idx="61">
                  <c:v>0.8181897404198375</c:v>
                </c:pt>
                <c:pt idx="62">
                  <c:v>0.81833693400716379</c:v>
                </c:pt>
                <c:pt idx="63">
                  <c:v>0.81848054687972172</c:v>
                </c:pt>
                <c:pt idx="64">
                  <c:v>0.81862067168145203</c:v>
                </c:pt>
                <c:pt idx="65">
                  <c:v>0.81875739839247785</c:v>
                </c:pt>
                <c:pt idx="66">
                  <c:v>0.81889081441860079</c:v>
                </c:pt>
                <c:pt idx="67">
                  <c:v>0.81902100467716932</c:v>
                </c:pt>
                <c:pt idx="68">
                  <c:v>0.81914805167949833</c:v>
                </c:pt>
                <c:pt idx="69">
                  <c:v>0.81927203561000728</c:v>
                </c:pt>
                <c:pt idx="70">
                  <c:v>0.81939303440222944</c:v>
                </c:pt>
                <c:pt idx="71">
                  <c:v>0.81951112381184665</c:v>
                </c:pt>
                <c:pt idx="72">
                  <c:v>0.81962637748688305</c:v>
                </c:pt>
                <c:pt idx="73">
                  <c:v>0.81973886703519627</c:v>
                </c:pt>
                <c:pt idx="74">
                  <c:v>0.81984866208938578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22-45E0-ACE8-3622E58C6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8116608"/>
        <c:axId val="278475648"/>
      </c:lineChart>
      <c:catAx>
        <c:axId val="203811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78475648"/>
        <c:crosses val="autoZero"/>
        <c:auto val="1"/>
        <c:lblAlgn val="ctr"/>
        <c:lblOffset val="100"/>
        <c:noMultiLvlLbl val="1"/>
      </c:catAx>
      <c:valAx>
        <c:axId val="278475648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3811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Crecimiento de Inversión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shock1!$I$17:$I$90</c:f>
              <c:numCache>
                <c:formatCode>General</c:formatCode>
                <c:ptCount val="74"/>
                <c:pt idx="0">
                  <c:v>9.7462618084698249E-4</c:v>
                </c:pt>
                <c:pt idx="1">
                  <c:v>9.4327838869401326E-4</c:v>
                </c:pt>
                <c:pt idx="2">
                  <c:v>9.1322169398022623E-4</c:v>
                </c:pt>
                <c:pt idx="3">
                  <c:v>8.8438543472890707E-4</c:v>
                </c:pt>
                <c:pt idx="4">
                  <c:v>8.5670395052095394E-4</c:v>
                </c:pt>
                <c:pt idx="5">
                  <c:v>8.3011614721129057E-4</c:v>
                </c:pt>
                <c:pt idx="6">
                  <c:v>8.0456510635040779E-4</c:v>
                </c:pt>
                <c:pt idx="7">
                  <c:v>7.7999773403547579E-4</c:v>
                </c:pt>
                <c:pt idx="8">
                  <c:v>7.5636444463533792E-4</c:v>
                </c:pt>
                <c:pt idx="9">
                  <c:v>7.3361887540102089E-4</c:v>
                </c:pt>
                <c:pt idx="10">
                  <c:v>7.1171762851562903E-4</c:v>
                </c:pt>
                <c:pt idx="11">
                  <c:v>6.9062003753983525E-4</c:v>
                </c:pt>
                <c:pt idx="12">
                  <c:v>6.7028795561330234E-4</c:v>
                </c:pt>
                <c:pt idx="13">
                  <c:v>6.5068556307634751E-4</c:v>
                </c:pt>
                <c:pt idx="14">
                  <c:v>6.3177919247414671E-4</c:v>
                </c:pt>
                <c:pt idx="15">
                  <c:v>6.1353716912981859E-4</c:v>
                </c:pt>
                <c:pt idx="16">
                  <c:v>5.9592966569921302E-4</c:v>
                </c:pt>
                <c:pt idx="17">
                  <c:v>5.0607874997761426E-2</c:v>
                </c:pt>
                <c:pt idx="18">
                  <c:v>-4.6950174986052695E-2</c:v>
                </c:pt>
                <c:pt idx="19">
                  <c:v>5.4271244341186353E-4</c:v>
                </c:pt>
                <c:pt idx="20">
                  <c:v>5.275080505491303E-4</c:v>
                </c:pt>
                <c:pt idx="21">
                  <c:v>5.1280700768607801E-4</c:v>
                </c:pt>
                <c:pt idx="22">
                  <c:v>4.9858843155958787E-4</c:v>
                </c:pt>
                <c:pt idx="23">
                  <c:v>4.8483253994402453E-4</c:v>
                </c:pt>
                <c:pt idx="24">
                  <c:v>4.7152058000765606E-4</c:v>
                </c:pt>
                <c:pt idx="25">
                  <c:v>4.5863476220753263E-4</c:v>
                </c:pt>
                <c:pt idx="26">
                  <c:v>4.4615819922011468E-4</c:v>
                </c:pt>
                <c:pt idx="27">
                  <c:v>4.3407484947244335E-4</c:v>
                </c:pt>
                <c:pt idx="28">
                  <c:v>4.2236946487528293E-4</c:v>
                </c:pt>
                <c:pt idx="29">
                  <c:v>4.1102754238653283E-4</c:v>
                </c:pt>
                <c:pt idx="30">
                  <c:v>4.0003527910092984E-4</c:v>
                </c:pt>
                <c:pt idx="31">
                  <c:v>3.8937953054696273E-4</c:v>
                </c:pt>
                <c:pt idx="32">
                  <c:v>3.7904777194985861E-4</c:v>
                </c:pt>
                <c:pt idx="33">
                  <c:v>3.6902806219352158E-4</c:v>
                </c:pt>
                <c:pt idx="34">
                  <c:v>3.5930901028913276E-4</c:v>
                </c:pt>
                <c:pt idx="35">
                  <c:v>3.4987974412659106E-4</c:v>
                </c:pt>
                <c:pt idx="36">
                  <c:v>3.4072988134647986E-4</c:v>
                </c:pt>
                <c:pt idx="37">
                  <c:v>3.3184950215536801E-4</c:v>
                </c:pt>
                <c:pt idx="38">
                  <c:v>3.2322912394056047E-4</c:v>
                </c:pt>
                <c:pt idx="39">
                  <c:v>3.148596775457424E-4</c:v>
                </c:pt>
                <c:pt idx="40">
                  <c:v>3.0673248507895323E-4</c:v>
                </c:pt>
                <c:pt idx="41">
                  <c:v>2.9883923914275634E-4</c:v>
                </c:pt>
                <c:pt idx="42">
                  <c:v>2.9117198337691441E-4</c:v>
                </c:pt>
                <c:pt idx="43">
                  <c:v>2.8372309422497466E-4</c:v>
                </c:pt>
                <c:pt idx="44">
                  <c:v>2.7648526382506589E-4</c:v>
                </c:pt>
                <c:pt idx="45">
                  <c:v>2.6945148395096652E-4</c:v>
                </c:pt>
                <c:pt idx="46">
                  <c:v>2.6261503093505389E-4</c:v>
                </c:pt>
                <c:pt idx="47">
                  <c:v>2.559694514876476E-4</c:v>
                </c:pt>
                <c:pt idx="48">
                  <c:v>2.4950854936656164E-4</c:v>
                </c:pt>
                <c:pt idx="49">
                  <c:v>2.4322637283136217E-4</c:v>
                </c:pt>
                <c:pt idx="50">
                  <c:v>2.3711720282326709E-4</c:v>
                </c:pt>
                <c:pt idx="51">
                  <c:v>2.3117554183804678E-4</c:v>
                </c:pt>
                <c:pt idx="52">
                  <c:v>2.2539610342420247E-4</c:v>
                </c:pt>
                <c:pt idx="53">
                  <c:v>2.1977380228332954E-4</c:v>
                </c:pt>
                <c:pt idx="54">
                  <c:v>2.1430374492359405E-4</c:v>
                </c:pt>
                <c:pt idx="55">
                  <c:v>2.089812208314612E-4</c:v>
                </c:pt>
                <c:pt idx="56">
                  <c:v>2.0380169412859139E-4</c:v>
                </c:pt>
                <c:pt idx="57">
                  <c:v>1.987607956894788E-4</c:v>
                </c:pt>
                <c:pt idx="58">
                  <c:v>1.9385431567586764E-4</c:v>
                </c:pt>
                <c:pt idx="59">
                  <c:v>1.8907819647817625E-4</c:v>
                </c:pt>
                <c:pt idx="60">
                  <c:v>1.8442852602729154E-4</c:v>
                </c:pt>
                <c:pt idx="61">
                  <c:v>1.7990153145985843E-4</c:v>
                </c:pt>
                <c:pt idx="62">
                  <c:v>1.7549357311152924E-4</c:v>
                </c:pt>
                <c:pt idx="63">
                  <c:v>1.7120113882307386E-4</c:v>
                </c:pt>
                <c:pt idx="64">
                  <c:v>1.670208385344818E-4</c:v>
                </c:pt>
                <c:pt idx="65">
                  <c:v>1.629493991561759E-4</c:v>
                </c:pt>
                <c:pt idx="66">
                  <c:v>1.5898365969713169E-4</c:v>
                </c:pt>
                <c:pt idx="67">
                  <c:v>1.551205666316946E-4</c:v>
                </c:pt>
                <c:pt idx="68">
                  <c:v>1.5135716950664957E-4</c:v>
                </c:pt>
                <c:pt idx="69">
                  <c:v>1.4769061674613226E-4</c:v>
                </c:pt>
                <c:pt idx="70">
                  <c:v>1.4411815167969522E-4</c:v>
                </c:pt>
                <c:pt idx="71">
                  <c:v>1.4063710874401281E-4</c:v>
                </c:pt>
                <c:pt idx="72">
                  <c:v>1.3724490987954141E-4</c:v>
                </c:pt>
                <c:pt idx="73">
                  <c:v>1.3393906108993825E-4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CE-442A-A973-8A5F331E6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4008672"/>
        <c:axId val="1754002432"/>
      </c:lineChart>
      <c:catAx>
        <c:axId val="17540086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4002432"/>
        <c:crosses val="autoZero"/>
        <c:auto val="1"/>
        <c:lblAlgn val="ctr"/>
        <c:lblOffset val="100"/>
        <c:noMultiLvlLbl val="0"/>
      </c:catAx>
      <c:valAx>
        <c:axId val="175400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400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PBI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shock2!$D$15</c:f>
              <c:strCache>
                <c:ptCount val="1"/>
                <c:pt idx="0">
                  <c:v>Y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shock2!$A$16:$A$90</c:f>
              <c:numCache>
                <c:formatCode>General</c:formatCode>
                <c:ptCount val="7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  <c:pt idx="68">
                  <c:v>2028</c:v>
                </c:pt>
                <c:pt idx="69">
                  <c:v>2029</c:v>
                </c:pt>
                <c:pt idx="70">
                  <c:v>2030</c:v>
                </c:pt>
                <c:pt idx="71">
                  <c:v>2031</c:v>
                </c:pt>
                <c:pt idx="72">
                  <c:v>2032</c:v>
                </c:pt>
                <c:pt idx="73">
                  <c:v>2033</c:v>
                </c:pt>
                <c:pt idx="74">
                  <c:v>2034</c:v>
                </c:pt>
              </c:numCache>
            </c:numRef>
          </c:cat>
          <c:val>
            <c:numRef>
              <c:f>shock2!$D$16:$D$90</c:f>
              <c:numCache>
                <c:formatCode>0.0000</c:formatCode>
                <c:ptCount val="75"/>
                <c:pt idx="0">
                  <c:v>0.8663657714024191</c:v>
                </c:pt>
                <c:pt idx="1">
                  <c:v>0.86721015416541747</c:v>
                </c:pt>
                <c:pt idx="2">
                  <c:v>0.86802817476229777</c:v>
                </c:pt>
                <c:pt idx="3">
                  <c:v>0.86882087692247667</c:v>
                </c:pt>
                <c:pt idx="4">
                  <c:v>0.86958924945141525</c:v>
                </c:pt>
                <c:pt idx="5">
                  <c:v>0.87033422999675081</c:v>
                </c:pt>
                <c:pt idx="6">
                  <c:v>0.87105670849454164</c:v>
                </c:pt>
                <c:pt idx="7">
                  <c:v>0.87175753032784875</c:v>
                </c:pt>
                <c:pt idx="8">
                  <c:v>0.8724374992261329</c:v>
                </c:pt>
                <c:pt idx="9">
                  <c:v>0.87309737993071401</c:v>
                </c:pt>
                <c:pt idx="10">
                  <c:v>0.87373790064869439</c:v>
                </c:pt>
                <c:pt idx="11">
                  <c:v>0.8743597553152882</c:v>
                </c:pt>
                <c:pt idx="12">
                  <c:v>0.87496360568232745</c:v>
                </c:pt>
                <c:pt idx="13">
                  <c:v>0.87555008324881622</c:v>
                </c:pt>
                <c:pt idx="14">
                  <c:v>0.87611979104773652</c:v>
                </c:pt>
                <c:pt idx="15">
                  <c:v>0.87667330530183518</c:v>
                </c:pt>
                <c:pt idx="16">
                  <c:v>0.87721117695982176</c:v>
                </c:pt>
                <c:pt idx="17">
                  <c:v>0.87773393312325498</c:v>
                </c:pt>
                <c:pt idx="18">
                  <c:v>0.87824207837338109</c:v>
                </c:pt>
                <c:pt idx="19">
                  <c:v>0.87873609600627578</c:v>
                </c:pt>
                <c:pt idx="20">
                  <c:v>0.87921644918383945</c:v>
                </c:pt>
                <c:pt idx="21">
                  <c:v>0.87968358200747965</c:v>
                </c:pt>
                <c:pt idx="22">
                  <c:v>0.88013792052066764</c:v>
                </c:pt>
                <c:pt idx="23">
                  <c:v>0.88057987364599188</c:v>
                </c:pt>
                <c:pt idx="24">
                  <c:v>0.88100983406180955</c:v>
                </c:pt>
                <c:pt idx="25">
                  <c:v>0.8814281790231453</c:v>
                </c:pt>
                <c:pt idx="26">
                  <c:v>0.88183527113106686</c:v>
                </c:pt>
                <c:pt idx="27">
                  <c:v>0.8822314590544007</c:v>
                </c:pt>
                <c:pt idx="28">
                  <c:v>0.88261707820731228</c:v>
                </c:pt>
                <c:pt idx="29">
                  <c:v>0.88299245138597626</c:v>
                </c:pt>
                <c:pt idx="30">
                  <c:v>0.87832602661397086</c:v>
                </c:pt>
                <c:pt idx="31">
                  <c:v>0.87881771736859038</c:v>
                </c:pt>
                <c:pt idx="32">
                  <c:v>0.87929581956171476</c:v>
                </c:pt>
                <c:pt idx="33">
                  <c:v>0.87976077419358301</c:v>
                </c:pt>
                <c:pt idx="34">
                  <c:v>0.88021300436831595</c:v>
                </c:pt>
                <c:pt idx="35">
                  <c:v>0.88065291622047936</c:v>
                </c:pt>
                <c:pt idx="36">
                  <c:v>0.88108089978206017</c:v>
                </c:pt>
                <c:pt idx="37">
                  <c:v>0.88149732979442552</c:v>
                </c:pt>
                <c:pt idx="38">
                  <c:v>0.88190256646943344</c:v>
                </c:pt>
                <c:pt idx="39">
                  <c:v>0.88229695620349768</c:v>
                </c:pt>
                <c:pt idx="40">
                  <c:v>0.88268083224807992</c:v>
                </c:pt>
                <c:pt idx="41">
                  <c:v>0.88305451533978474</c:v>
                </c:pt>
                <c:pt idx="42">
                  <c:v>0.88341831429296747</c:v>
                </c:pt>
                <c:pt idx="43">
                  <c:v>0.88377252655752248</c:v>
                </c:pt>
                <c:pt idx="44">
                  <c:v>0.88411743874429471</c:v>
                </c:pt>
                <c:pt idx="45">
                  <c:v>0.88445332712036639</c:v>
                </c:pt>
                <c:pt idx="46">
                  <c:v>0.88478045807628314</c:v>
                </c:pt>
                <c:pt idx="47">
                  <c:v>0.88509908856712305</c:v>
                </c:pt>
                <c:pt idx="48">
                  <c:v>0.88540946652916119</c:v>
                </c:pt>
                <c:pt idx="49">
                  <c:v>0.88571183127374908</c:v>
                </c:pt>
                <c:pt idx="50">
                  <c:v>0.88600641385989665</c:v>
                </c:pt>
                <c:pt idx="51">
                  <c:v>0.88629343744694222</c:v>
                </c:pt>
                <c:pt idx="52">
                  <c:v>0.88657311762858149</c:v>
                </c:pt>
                <c:pt idx="53">
                  <c:v>0.88684566274943866</c:v>
                </c:pt>
                <c:pt idx="54">
                  <c:v>0.88711127420527214</c:v>
                </c:pt>
                <c:pt idx="55">
                  <c:v>0.88737014672783354</c:v>
                </c:pt>
                <c:pt idx="56">
                  <c:v>0.88762246865531358</c:v>
                </c:pt>
                <c:pt idx="57">
                  <c:v>0.88786842218925843</c:v>
                </c:pt>
                <c:pt idx="58">
                  <c:v>0.88810818363876221</c:v>
                </c:pt>
                <c:pt idx="59">
                  <c:v>0.88834192365269482</c:v>
                </c:pt>
                <c:pt idx="60">
                  <c:v>0.88856980744066916</c:v>
                </c:pt>
                <c:pt idx="61">
                  <c:v>0.88879199498340156</c:v>
                </c:pt>
                <c:pt idx="62">
                  <c:v>0.88900864123307854</c:v>
                </c:pt>
                <c:pt idx="63">
                  <c:v>0.88921989630429932</c:v>
                </c:pt>
                <c:pt idx="64">
                  <c:v>0.88942590565612689</c:v>
                </c:pt>
                <c:pt idx="65">
                  <c:v>0.88962681026574364</c:v>
                </c:pt>
                <c:pt idx="66">
                  <c:v>0.8898227467941795</c:v>
                </c:pt>
                <c:pt idx="67">
                  <c:v>0.89001384774454517</c:v>
                </c:pt>
                <c:pt idx="68">
                  <c:v>0.89020024161317701</c:v>
                </c:pt>
                <c:pt idx="69">
                  <c:v>0.89038205303407925</c:v>
                </c:pt>
                <c:pt idx="70">
                  <c:v>0.89055940291701585</c:v>
                </c:pt>
                <c:pt idx="71">
                  <c:v>0.89073240857959013</c:v>
                </c:pt>
                <c:pt idx="72">
                  <c:v>0.89090118387362671</c:v>
                </c:pt>
                <c:pt idx="73">
                  <c:v>0.89106583930615113</c:v>
                </c:pt>
                <c:pt idx="74">
                  <c:v>0.89122648215524292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6F-4117-9BF2-2FFA23B1F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8116608"/>
        <c:axId val="278475648"/>
      </c:lineChart>
      <c:catAx>
        <c:axId val="203811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78475648"/>
        <c:crosses val="autoZero"/>
        <c:auto val="1"/>
        <c:lblAlgn val="ctr"/>
        <c:lblOffset val="100"/>
        <c:noMultiLvlLbl val="1"/>
      </c:catAx>
      <c:valAx>
        <c:axId val="278475648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3811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Crecimiento de PBI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shock2!$A$17:$A$90</c:f>
              <c:numCache>
                <c:formatCode>General</c:formatCode>
                <c:ptCount val="74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  <c:pt idx="41">
                  <c:v>2002</c:v>
                </c:pt>
                <c:pt idx="42">
                  <c:v>2003</c:v>
                </c:pt>
                <c:pt idx="43">
                  <c:v>2004</c:v>
                </c:pt>
                <c:pt idx="44">
                  <c:v>2005</c:v>
                </c:pt>
                <c:pt idx="45">
                  <c:v>2006</c:v>
                </c:pt>
                <c:pt idx="46">
                  <c:v>2007</c:v>
                </c:pt>
                <c:pt idx="47">
                  <c:v>2008</c:v>
                </c:pt>
                <c:pt idx="48">
                  <c:v>2009</c:v>
                </c:pt>
                <c:pt idx="49">
                  <c:v>2010</c:v>
                </c:pt>
                <c:pt idx="50">
                  <c:v>2011</c:v>
                </c:pt>
                <c:pt idx="51">
                  <c:v>2012</c:v>
                </c:pt>
                <c:pt idx="52">
                  <c:v>2013</c:v>
                </c:pt>
                <c:pt idx="53">
                  <c:v>2014</c:v>
                </c:pt>
                <c:pt idx="54">
                  <c:v>2015</c:v>
                </c:pt>
                <c:pt idx="55">
                  <c:v>2016</c:v>
                </c:pt>
                <c:pt idx="56">
                  <c:v>2017</c:v>
                </c:pt>
                <c:pt idx="57">
                  <c:v>2018</c:v>
                </c:pt>
                <c:pt idx="58">
                  <c:v>2019</c:v>
                </c:pt>
                <c:pt idx="59">
                  <c:v>2020</c:v>
                </c:pt>
                <c:pt idx="60">
                  <c:v>2021</c:v>
                </c:pt>
                <c:pt idx="61">
                  <c:v>2022</c:v>
                </c:pt>
                <c:pt idx="62">
                  <c:v>2023</c:v>
                </c:pt>
                <c:pt idx="63">
                  <c:v>2024</c:v>
                </c:pt>
                <c:pt idx="64">
                  <c:v>2025</c:v>
                </c:pt>
                <c:pt idx="65">
                  <c:v>2026</c:v>
                </c:pt>
                <c:pt idx="66">
                  <c:v>2027</c:v>
                </c:pt>
                <c:pt idx="67">
                  <c:v>2028</c:v>
                </c:pt>
                <c:pt idx="68">
                  <c:v>2029</c:v>
                </c:pt>
                <c:pt idx="69">
                  <c:v>2030</c:v>
                </c:pt>
                <c:pt idx="70">
                  <c:v>2031</c:v>
                </c:pt>
                <c:pt idx="71">
                  <c:v>2032</c:v>
                </c:pt>
                <c:pt idx="72">
                  <c:v>2033</c:v>
                </c:pt>
                <c:pt idx="73">
                  <c:v>2034</c:v>
                </c:pt>
              </c:numCache>
            </c:numRef>
          </c:cat>
          <c:val>
            <c:numRef>
              <c:f>shock2!$H$17:$H$90</c:f>
              <c:numCache>
                <c:formatCode>0.0000</c:formatCode>
                <c:ptCount val="74"/>
                <c:pt idx="0">
                  <c:v>1.0882696405595027E-2</c:v>
                </c:pt>
                <c:pt idx="1">
                  <c:v>1.053099558303261E-2</c:v>
                </c:pt>
                <c:pt idx="2">
                  <c:v>1.0193884560438793E-2</c:v>
                </c:pt>
                <c:pt idx="3">
                  <c:v>9.8705579371456409E-3</c:v>
                </c:pt>
                <c:pt idx="4">
                  <c:v>9.5602678247981299E-3</c:v>
                </c:pt>
                <c:pt idx="5">
                  <c:v>9.2623187987599387E-3</c:v>
                </c:pt>
                <c:pt idx="6">
                  <c:v>8.9760633723541261E-3</c:v>
                </c:pt>
                <c:pt idx="7">
                  <c:v>8.7008979318530244E-3</c:v>
                </c:pt>
                <c:pt idx="8">
                  <c:v>8.4362590784108349E-3</c:v>
                </c:pt>
                <c:pt idx="9">
                  <c:v>8.1816203301923185E-3</c:v>
                </c:pt>
                <c:pt idx="10">
                  <c:v>7.9364891439972496E-3</c:v>
                </c:pt>
                <c:pt idx="11">
                  <c:v>7.7004042208392853E-3</c:v>
                </c:pt>
                <c:pt idx="12">
                  <c:v>7.4729330643978908E-3</c:v>
                </c:pt>
                <c:pt idx="13">
                  <c:v>7.2536697650786852E-3</c:v>
                </c:pt>
                <c:pt idx="14">
                  <c:v>7.0422329857366961E-3</c:v>
                </c:pt>
                <c:pt idx="15">
                  <c:v>6.8382641279669532E-3</c:v>
                </c:pt>
                <c:pt idx="16">
                  <c:v>6.6414256603593014E-3</c:v>
                </c:pt>
                <c:pt idx="17">
                  <c:v>6.4513995922688139E-3</c:v>
                </c:pt>
                <c:pt idx="18">
                  <c:v>6.2678860785390089E-3</c:v>
                </c:pt>
                <c:pt idx="19">
                  <c:v>6.0906021422471035E-3</c:v>
                </c:pt>
                <c:pt idx="20">
                  <c:v>5.9192805039940399E-3</c:v>
                </c:pt>
                <c:pt idx="21">
                  <c:v>5.7536685075048055E-3</c:v>
                </c:pt>
                <c:pt idx="22">
                  <c:v>5.5935271324250024E-3</c:v>
                </c:pt>
                <c:pt idx="23">
                  <c:v>5.4386300861646308E-3</c:v>
                </c:pt>
                <c:pt idx="24">
                  <c:v>5.2887629674991388E-3</c:v>
                </c:pt>
                <c:pt idx="25">
                  <c:v>5.143722495402514E-3</c:v>
                </c:pt>
                <c:pt idx="26">
                  <c:v>5.0033157972457776E-3</c:v>
                </c:pt>
                <c:pt idx="27">
                  <c:v>4.8673597511030842E-3</c:v>
                </c:pt>
                <c:pt idx="28">
                  <c:v>4.7356803774174505E-3</c:v>
                </c:pt>
                <c:pt idx="29">
                  <c:v>-5.7175891255250466E-2</c:v>
                </c:pt>
                <c:pt idx="30">
                  <c:v>6.2376820993441662E-3</c:v>
                </c:pt>
                <c:pt idx="31">
                  <c:v>6.0614178404840846E-3</c:v>
                </c:pt>
                <c:pt idx="32">
                  <c:v>5.891072450284085E-3</c:v>
                </c:pt>
                <c:pt idx="33">
                  <c:v>5.7263956294566487E-3</c:v>
                </c:pt>
                <c:pt idx="34">
                  <c:v>5.5671505567878032E-3</c:v>
                </c:pt>
                <c:pt idx="35">
                  <c:v>5.4131129935208744E-3</c:v>
                </c:pt>
                <c:pt idx="36">
                  <c:v>5.2640704583513109E-3</c:v>
                </c:pt>
                <c:pt idx="37">
                  <c:v>5.1198214666223762E-3</c:v>
                </c:pt>
                <c:pt idx="38">
                  <c:v>4.9801748279649782E-3</c:v>
                </c:pt>
                <c:pt idx="39">
                  <c:v>4.844948997210885E-3</c:v>
                </c:pt>
                <c:pt idx="40">
                  <c:v>4.7139714739197203E-3</c:v>
                </c:pt>
                <c:pt idx="41">
                  <c:v>4.5870782463257598E-3</c:v>
                </c:pt>
                <c:pt idx="42">
                  <c:v>4.4641132759137836E-3</c:v>
                </c:pt>
                <c:pt idx="43">
                  <c:v>4.3449280192038309E-3</c:v>
                </c:pt>
                <c:pt idx="44">
                  <c:v>4.2293809836415619E-3</c:v>
                </c:pt>
                <c:pt idx="45">
                  <c:v>4.1173373147957992E-3</c:v>
                </c:pt>
                <c:pt idx="46">
                  <c:v>4.0086684123092908E-3</c:v>
                </c:pt>
                <c:pt idx="47">
                  <c:v>3.9032515722956518E-3</c:v>
                </c:pt>
                <c:pt idx="48">
                  <c:v>3.8009696540808324E-3</c:v>
                </c:pt>
                <c:pt idx="49">
                  <c:v>3.7017107693719797E-3</c:v>
                </c:pt>
                <c:pt idx="50">
                  <c:v>3.6053679921148607E-3</c:v>
                </c:pt>
                <c:pt idx="51">
                  <c:v>3.5118390874477878E-3</c:v>
                </c:pt>
                <c:pt idx="52">
                  <c:v>3.4210262582972106E-3</c:v>
                </c:pt>
                <c:pt idx="53">
                  <c:v>3.3328359082958059E-3</c:v>
                </c:pt>
                <c:pt idx="54">
                  <c:v>3.2471784197980469E-3</c:v>
                </c:pt>
                <c:pt idx="55">
                  <c:v>3.1639679458903558E-3</c:v>
                </c:pt>
                <c:pt idx="56">
                  <c:v>3.0831222153695492E-3</c:v>
                </c:pt>
                <c:pt idx="57">
                  <c:v>3.0045623497596541E-3</c:v>
                </c:pt>
                <c:pt idx="58">
                  <c:v>2.928212691502452E-3</c:v>
                </c:pt>
                <c:pt idx="59">
                  <c:v>2.8540006425368247E-3</c:v>
                </c:pt>
                <c:pt idx="60">
                  <c:v>2.7818565125361516E-3</c:v>
                </c:pt>
                <c:pt idx="61">
                  <c:v>2.7117133761382917E-3</c:v>
                </c:pt>
                <c:pt idx="62">
                  <c:v>2.6435069385459808E-3</c:v>
                </c:pt>
                <c:pt idx="63">
                  <c:v>2.5771754089378707E-3</c:v>
                </c:pt>
                <c:pt idx="64">
                  <c:v>2.5126593811537479E-3</c:v>
                </c:pt>
                <c:pt idx="65">
                  <c:v>2.4499017211778717E-3</c:v>
                </c:pt>
                <c:pt idx="66">
                  <c:v>2.3888474609694565E-3</c:v>
                </c:pt>
                <c:pt idx="67">
                  <c:v>2.3294436982217448E-3</c:v>
                </c:pt>
                <c:pt idx="68">
                  <c:v>2.2716395016695312E-3</c:v>
                </c:pt>
                <c:pt idx="69">
                  <c:v>2.2153858215876454E-3</c:v>
                </c:pt>
                <c:pt idx="70">
                  <c:v>2.1606354051513232E-3</c:v>
                </c:pt>
                <c:pt idx="71">
                  <c:v>2.1073427163491587E-3</c:v>
                </c:pt>
                <c:pt idx="72">
                  <c:v>2.0554638601664177E-3</c:v>
                </c:pt>
                <c:pt idx="73">
                  <c:v>2.0049565107744804E-3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D4-4F8F-A7EB-28A168E27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359216"/>
        <c:axId val="255359696"/>
      </c:lineChart>
      <c:catAx>
        <c:axId val="25535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5359696"/>
        <c:crosses val="autoZero"/>
        <c:auto val="1"/>
        <c:lblAlgn val="ctr"/>
        <c:lblOffset val="100"/>
        <c:noMultiLvlLbl val="0"/>
      </c:catAx>
      <c:valAx>
        <c:axId val="255359696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535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Crecimiento de 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9.2598617480507239E-2"/>
          <c:y val="0.18644457499042941"/>
          <c:w val="0.87565535077346102"/>
          <c:h val="0.64588073129765899"/>
        </c:manualLayout>
      </c:layout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shock2!$A$17:$A$90</c:f>
              <c:numCache>
                <c:formatCode>General</c:formatCode>
                <c:ptCount val="74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  <c:pt idx="41">
                  <c:v>2002</c:v>
                </c:pt>
                <c:pt idx="42">
                  <c:v>2003</c:v>
                </c:pt>
                <c:pt idx="43">
                  <c:v>2004</c:v>
                </c:pt>
                <c:pt idx="44">
                  <c:v>2005</c:v>
                </c:pt>
                <c:pt idx="45">
                  <c:v>2006</c:v>
                </c:pt>
                <c:pt idx="46">
                  <c:v>2007</c:v>
                </c:pt>
                <c:pt idx="47">
                  <c:v>2008</c:v>
                </c:pt>
                <c:pt idx="48">
                  <c:v>2009</c:v>
                </c:pt>
                <c:pt idx="49">
                  <c:v>2010</c:v>
                </c:pt>
                <c:pt idx="50">
                  <c:v>2011</c:v>
                </c:pt>
                <c:pt idx="51">
                  <c:v>2012</c:v>
                </c:pt>
                <c:pt idx="52">
                  <c:v>2013</c:v>
                </c:pt>
                <c:pt idx="53">
                  <c:v>2014</c:v>
                </c:pt>
                <c:pt idx="54">
                  <c:v>2015</c:v>
                </c:pt>
                <c:pt idx="55">
                  <c:v>2016</c:v>
                </c:pt>
                <c:pt idx="56">
                  <c:v>2017</c:v>
                </c:pt>
                <c:pt idx="57">
                  <c:v>2018</c:v>
                </c:pt>
                <c:pt idx="58">
                  <c:v>2019</c:v>
                </c:pt>
                <c:pt idx="59">
                  <c:v>2020</c:v>
                </c:pt>
                <c:pt idx="60">
                  <c:v>2021</c:v>
                </c:pt>
                <c:pt idx="61">
                  <c:v>2022</c:v>
                </c:pt>
                <c:pt idx="62">
                  <c:v>2023</c:v>
                </c:pt>
                <c:pt idx="63">
                  <c:v>2024</c:v>
                </c:pt>
                <c:pt idx="64">
                  <c:v>2025</c:v>
                </c:pt>
                <c:pt idx="65">
                  <c:v>2026</c:v>
                </c:pt>
                <c:pt idx="66">
                  <c:v>2027</c:v>
                </c:pt>
                <c:pt idx="67">
                  <c:v>2028</c:v>
                </c:pt>
                <c:pt idx="68">
                  <c:v>2029</c:v>
                </c:pt>
                <c:pt idx="69">
                  <c:v>2030</c:v>
                </c:pt>
                <c:pt idx="70">
                  <c:v>2031</c:v>
                </c:pt>
                <c:pt idx="71">
                  <c:v>2032</c:v>
                </c:pt>
                <c:pt idx="72">
                  <c:v>2033</c:v>
                </c:pt>
                <c:pt idx="73">
                  <c:v>2034</c:v>
                </c:pt>
              </c:numCache>
            </c:numRef>
          </c:cat>
          <c:val>
            <c:numRef>
              <c:f>shock2!$H$17:$H$90</c:f>
              <c:numCache>
                <c:formatCode>0.0000</c:formatCode>
                <c:ptCount val="74"/>
                <c:pt idx="0">
                  <c:v>1.0882696405595027E-2</c:v>
                </c:pt>
                <c:pt idx="1">
                  <c:v>1.053099558303261E-2</c:v>
                </c:pt>
                <c:pt idx="2">
                  <c:v>1.0193884560438793E-2</c:v>
                </c:pt>
                <c:pt idx="3">
                  <c:v>9.8705579371456409E-3</c:v>
                </c:pt>
                <c:pt idx="4">
                  <c:v>9.5602678247981299E-3</c:v>
                </c:pt>
                <c:pt idx="5">
                  <c:v>9.2623187987599387E-3</c:v>
                </c:pt>
                <c:pt idx="6">
                  <c:v>8.9760633723541261E-3</c:v>
                </c:pt>
                <c:pt idx="7">
                  <c:v>8.7008979318530244E-3</c:v>
                </c:pt>
                <c:pt idx="8">
                  <c:v>8.4362590784108349E-3</c:v>
                </c:pt>
                <c:pt idx="9">
                  <c:v>8.1816203301923185E-3</c:v>
                </c:pt>
                <c:pt idx="10">
                  <c:v>7.9364891439972496E-3</c:v>
                </c:pt>
                <c:pt idx="11">
                  <c:v>7.7004042208392853E-3</c:v>
                </c:pt>
                <c:pt idx="12">
                  <c:v>7.4729330643978908E-3</c:v>
                </c:pt>
                <c:pt idx="13">
                  <c:v>7.2536697650786852E-3</c:v>
                </c:pt>
                <c:pt idx="14">
                  <c:v>7.0422329857366961E-3</c:v>
                </c:pt>
                <c:pt idx="15">
                  <c:v>6.8382641279669532E-3</c:v>
                </c:pt>
                <c:pt idx="16">
                  <c:v>6.6414256603593014E-3</c:v>
                </c:pt>
                <c:pt idx="17">
                  <c:v>6.4513995922688139E-3</c:v>
                </c:pt>
                <c:pt idx="18">
                  <c:v>6.2678860785390089E-3</c:v>
                </c:pt>
                <c:pt idx="19">
                  <c:v>6.0906021422471035E-3</c:v>
                </c:pt>
                <c:pt idx="20">
                  <c:v>5.9192805039940399E-3</c:v>
                </c:pt>
                <c:pt idx="21">
                  <c:v>5.7536685075048055E-3</c:v>
                </c:pt>
                <c:pt idx="22">
                  <c:v>5.5935271324250024E-3</c:v>
                </c:pt>
                <c:pt idx="23">
                  <c:v>5.4386300861646308E-3</c:v>
                </c:pt>
                <c:pt idx="24">
                  <c:v>5.2887629674991388E-3</c:v>
                </c:pt>
                <c:pt idx="25">
                  <c:v>5.143722495402514E-3</c:v>
                </c:pt>
                <c:pt idx="26">
                  <c:v>5.0033157972457776E-3</c:v>
                </c:pt>
                <c:pt idx="27">
                  <c:v>4.8673597511030842E-3</c:v>
                </c:pt>
                <c:pt idx="28">
                  <c:v>4.7356803774174505E-3</c:v>
                </c:pt>
                <c:pt idx="29">
                  <c:v>-5.7175891255250466E-2</c:v>
                </c:pt>
                <c:pt idx="30">
                  <c:v>6.2376820993441662E-3</c:v>
                </c:pt>
                <c:pt idx="31">
                  <c:v>6.0614178404840846E-3</c:v>
                </c:pt>
                <c:pt idx="32">
                  <c:v>5.891072450284085E-3</c:v>
                </c:pt>
                <c:pt idx="33">
                  <c:v>5.7263956294566487E-3</c:v>
                </c:pt>
                <c:pt idx="34">
                  <c:v>5.5671505567878032E-3</c:v>
                </c:pt>
                <c:pt idx="35">
                  <c:v>5.4131129935208744E-3</c:v>
                </c:pt>
                <c:pt idx="36">
                  <c:v>5.2640704583513109E-3</c:v>
                </c:pt>
                <c:pt idx="37">
                  <c:v>5.1198214666223762E-3</c:v>
                </c:pt>
                <c:pt idx="38">
                  <c:v>4.9801748279649782E-3</c:v>
                </c:pt>
                <c:pt idx="39">
                  <c:v>4.844948997210885E-3</c:v>
                </c:pt>
                <c:pt idx="40">
                  <c:v>4.7139714739197203E-3</c:v>
                </c:pt>
                <c:pt idx="41">
                  <c:v>4.5870782463257598E-3</c:v>
                </c:pt>
                <c:pt idx="42">
                  <c:v>4.4641132759137836E-3</c:v>
                </c:pt>
                <c:pt idx="43">
                  <c:v>4.3449280192038309E-3</c:v>
                </c:pt>
                <c:pt idx="44">
                  <c:v>4.2293809836415619E-3</c:v>
                </c:pt>
                <c:pt idx="45">
                  <c:v>4.1173373147957992E-3</c:v>
                </c:pt>
                <c:pt idx="46">
                  <c:v>4.0086684123092908E-3</c:v>
                </c:pt>
                <c:pt idx="47">
                  <c:v>3.9032515722956518E-3</c:v>
                </c:pt>
                <c:pt idx="48">
                  <c:v>3.8009696540808324E-3</c:v>
                </c:pt>
                <c:pt idx="49">
                  <c:v>3.7017107693719797E-3</c:v>
                </c:pt>
                <c:pt idx="50">
                  <c:v>3.6053679921148607E-3</c:v>
                </c:pt>
                <c:pt idx="51">
                  <c:v>3.5118390874477878E-3</c:v>
                </c:pt>
                <c:pt idx="52">
                  <c:v>3.4210262582972106E-3</c:v>
                </c:pt>
                <c:pt idx="53">
                  <c:v>3.3328359082958059E-3</c:v>
                </c:pt>
                <c:pt idx="54">
                  <c:v>3.2471784197980469E-3</c:v>
                </c:pt>
                <c:pt idx="55">
                  <c:v>3.1639679458903558E-3</c:v>
                </c:pt>
                <c:pt idx="56">
                  <c:v>3.0831222153695492E-3</c:v>
                </c:pt>
                <c:pt idx="57">
                  <c:v>3.0045623497596541E-3</c:v>
                </c:pt>
                <c:pt idx="58">
                  <c:v>2.928212691502452E-3</c:v>
                </c:pt>
                <c:pt idx="59">
                  <c:v>2.8540006425368247E-3</c:v>
                </c:pt>
                <c:pt idx="60">
                  <c:v>2.7818565125361516E-3</c:v>
                </c:pt>
                <c:pt idx="61">
                  <c:v>2.7117133761382917E-3</c:v>
                </c:pt>
                <c:pt idx="62">
                  <c:v>2.6435069385459808E-3</c:v>
                </c:pt>
                <c:pt idx="63">
                  <c:v>2.5771754089378707E-3</c:v>
                </c:pt>
                <c:pt idx="64">
                  <c:v>2.5126593811537479E-3</c:v>
                </c:pt>
                <c:pt idx="65">
                  <c:v>2.4499017211778717E-3</c:v>
                </c:pt>
                <c:pt idx="66">
                  <c:v>2.3888474609694565E-3</c:v>
                </c:pt>
                <c:pt idx="67">
                  <c:v>2.3294436982217448E-3</c:v>
                </c:pt>
                <c:pt idx="68">
                  <c:v>2.2716395016695312E-3</c:v>
                </c:pt>
                <c:pt idx="69">
                  <c:v>2.2153858215876454E-3</c:v>
                </c:pt>
                <c:pt idx="70">
                  <c:v>2.1606354051513232E-3</c:v>
                </c:pt>
                <c:pt idx="71">
                  <c:v>2.1073427163491587E-3</c:v>
                </c:pt>
                <c:pt idx="72">
                  <c:v>2.0554638601664177E-3</c:v>
                </c:pt>
                <c:pt idx="73">
                  <c:v>2.0049565107744804E-3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5-4F75-A0CE-C033B89AF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359216"/>
        <c:axId val="255359696"/>
      </c:lineChart>
      <c:catAx>
        <c:axId val="25535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5359696"/>
        <c:crosses val="autoZero"/>
        <c:auto val="1"/>
        <c:lblAlgn val="ctr"/>
        <c:lblOffset val="100"/>
        <c:noMultiLvlLbl val="0"/>
      </c:catAx>
      <c:valAx>
        <c:axId val="255359696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535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Consumo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shock2!$E$15</c:f>
              <c:strCache>
                <c:ptCount val="1"/>
                <c:pt idx="0">
                  <c:v>C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shock2!$A$16:$A$90</c:f>
              <c:numCache>
                <c:formatCode>General</c:formatCode>
                <c:ptCount val="7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  <c:pt idx="68">
                  <c:v>2028</c:v>
                </c:pt>
                <c:pt idx="69">
                  <c:v>2029</c:v>
                </c:pt>
                <c:pt idx="70">
                  <c:v>2030</c:v>
                </c:pt>
                <c:pt idx="71">
                  <c:v>2031</c:v>
                </c:pt>
                <c:pt idx="72">
                  <c:v>2032</c:v>
                </c:pt>
                <c:pt idx="73">
                  <c:v>2033</c:v>
                </c:pt>
                <c:pt idx="74">
                  <c:v>2034</c:v>
                </c:pt>
              </c:numCache>
            </c:numRef>
          </c:cat>
          <c:val>
            <c:numRef>
              <c:f>shock2!$E$16:$E$90</c:f>
              <c:numCache>
                <c:formatCode>0.0000</c:formatCode>
                <c:ptCount val="75"/>
                <c:pt idx="0">
                  <c:v>0.79549744600136918</c:v>
                </c:pt>
                <c:pt idx="1">
                  <c:v>0.7962727586390389</c:v>
                </c:pt>
                <c:pt idx="2">
                  <c:v>0.79702386552376892</c:v>
                </c:pt>
                <c:pt idx="3">
                  <c:v>0.79775172500838509</c:v>
                </c:pt>
                <c:pt idx="4">
                  <c:v>0.79845724501451232</c:v>
                </c:pt>
                <c:pt idx="5">
                  <c:v>0.79914128649063831</c:v>
                </c:pt>
                <c:pt idx="6">
                  <c:v>0.79980466657645732</c:v>
                </c:pt>
                <c:pt idx="7">
                  <c:v>0.80044816150308085</c:v>
                </c:pt>
                <c:pt idx="8">
                  <c:v>0.80107250925526619</c:v>
                </c:pt>
                <c:pt idx="9">
                  <c:v>0.8016784120188416</c:v>
                </c:pt>
                <c:pt idx="10">
                  <c:v>0.80226653843390017</c:v>
                </c:pt>
                <c:pt idx="11">
                  <c:v>0.80283752567207167</c:v>
                </c:pt>
                <c:pt idx="12">
                  <c:v>0.80339198135418977</c:v>
                </c:pt>
                <c:pt idx="13">
                  <c:v>0.80393048532292777</c:v>
                </c:pt>
                <c:pt idx="14">
                  <c:v>0.80445359128344429</c:v>
                </c:pt>
                <c:pt idx="15">
                  <c:v>0.8049618283237282</c:v>
                </c:pt>
                <c:pt idx="16">
                  <c:v>0.80545570232513553</c:v>
                </c:pt>
                <c:pt idx="17">
                  <c:v>0.80593569727255765</c:v>
                </c:pt>
                <c:pt idx="18">
                  <c:v>0.80640227647272467</c:v>
                </c:pt>
                <c:pt idx="19">
                  <c:v>0.80685588368831351</c:v>
                </c:pt>
                <c:pt idx="20">
                  <c:v>0.80729694419479225</c:v>
                </c:pt>
                <c:pt idx="21">
                  <c:v>0.80772586576627547</c:v>
                </c:pt>
                <c:pt idx="22">
                  <c:v>0.80814303959607259</c:v>
                </c:pt>
                <c:pt idx="23">
                  <c:v>0.80854884115709069</c:v>
                </c:pt>
                <c:pt idx="24">
                  <c:v>0.80894363100677624</c:v>
                </c:pt>
                <c:pt idx="25">
                  <c:v>0.80932775554086467</c:v>
                </c:pt>
                <c:pt idx="26">
                  <c:v>0.80970154769982161</c:v>
                </c:pt>
                <c:pt idx="27">
                  <c:v>0.81006532763152239</c:v>
                </c:pt>
                <c:pt idx="28">
                  <c:v>0.81041940331340645</c:v>
                </c:pt>
                <c:pt idx="29">
                  <c:v>0.81076407113706861</c:v>
                </c:pt>
                <c:pt idx="30">
                  <c:v>0.80647935778547941</c:v>
                </c:pt>
                <c:pt idx="31">
                  <c:v>0.806930828460376</c:v>
                </c:pt>
                <c:pt idx="32">
                  <c:v>0.80736982211191699</c:v>
                </c:pt>
                <c:pt idx="33">
                  <c:v>0.80779674366672283</c:v>
                </c:pt>
                <c:pt idx="34">
                  <c:v>0.80821198161919006</c:v>
                </c:pt>
                <c:pt idx="35">
                  <c:v>0.80861590888226187</c:v>
                </c:pt>
                <c:pt idx="36">
                  <c:v>0.80900888358348655</c:v>
                </c:pt>
                <c:pt idx="37">
                  <c:v>0.80939124981055799</c:v>
                </c:pt>
                <c:pt idx="38">
                  <c:v>0.80976333831016833</c:v>
                </c:pt>
                <c:pt idx="39">
                  <c:v>0.81012546714366251</c:v>
                </c:pt>
                <c:pt idx="40">
                  <c:v>0.81047794230268444</c:v>
                </c:pt>
                <c:pt idx="41">
                  <c:v>0.81082105828773066</c:v>
                </c:pt>
                <c:pt idx="42">
                  <c:v>0.81115509865228297</c:v>
                </c:pt>
                <c:pt idx="43">
                  <c:v>0.81148033651496965</c:v>
                </c:pt>
                <c:pt idx="44">
                  <c:v>0.81179703504199929</c:v>
                </c:pt>
                <c:pt idx="45">
                  <c:v>0.81210544790193273</c:v>
                </c:pt>
                <c:pt idx="46">
                  <c:v>0.81240581969469006</c:v>
                </c:pt>
                <c:pt idx="47">
                  <c:v>0.81269838635654124</c:v>
                </c:pt>
                <c:pt idx="48">
                  <c:v>0.81298337554268685</c:v>
                </c:pt>
                <c:pt idx="49">
                  <c:v>0.81326100698891901</c:v>
                </c:pt>
                <c:pt idx="50">
                  <c:v>0.81353149285372595</c:v>
                </c:pt>
                <c:pt idx="51">
                  <c:v>0.81379503804211362</c:v>
                </c:pt>
                <c:pt idx="52">
                  <c:v>0.81405184051231172</c:v>
                </c:pt>
                <c:pt idx="53">
                  <c:v>0.81430209156644917</c:v>
                </c:pt>
                <c:pt idx="54">
                  <c:v>0.81454597612620294</c:v>
                </c:pt>
                <c:pt idx="55">
                  <c:v>0.81478367299435617</c:v>
                </c:pt>
                <c:pt idx="56">
                  <c:v>0.8150153551031214</c:v>
                </c:pt>
                <c:pt idx="57">
                  <c:v>0.81524118975004134</c:v>
                </c:pt>
                <c:pt idx="58">
                  <c:v>0.81546133882220639</c:v>
                </c:pt>
                <c:pt idx="59">
                  <c:v>0.81567595900948686</c:v>
                </c:pt>
                <c:pt idx="60">
                  <c:v>0.81588520200742431</c:v>
                </c:pt>
                <c:pt idx="61">
                  <c:v>0.81608921471038565</c:v>
                </c:pt>
                <c:pt idx="62">
                  <c:v>0.8162881393955389</c:v>
                </c:pt>
                <c:pt idx="63">
                  <c:v>0.8164821138981776</c:v>
                </c:pt>
                <c:pt idx="64">
                  <c:v>0.81667127177887955</c:v>
                </c:pt>
                <c:pt idx="65">
                  <c:v>0.816855742482958</c:v>
                </c:pt>
                <c:pt idx="66">
                  <c:v>0.81703565149263269</c:v>
                </c:pt>
                <c:pt idx="67">
                  <c:v>0.81721112047232047</c:v>
                </c:pt>
                <c:pt idx="68">
                  <c:v>0.8173822674074156</c:v>
                </c:pt>
                <c:pt idx="69">
                  <c:v>0.81754920673691789</c:v>
                </c:pt>
                <c:pt idx="70">
                  <c:v>0.81771204948022747</c:v>
                </c:pt>
                <c:pt idx="71">
                  <c:v>0.81787090335842128</c:v>
                </c:pt>
                <c:pt idx="72">
                  <c:v>0.81802587291029649</c:v>
                </c:pt>
                <c:pt idx="73">
                  <c:v>0.81817705960345422</c:v>
                </c:pt>
                <c:pt idx="74">
                  <c:v>0.81832456194067615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49-4017-9675-DE861C8F9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8116608"/>
        <c:axId val="278475648"/>
      </c:lineChart>
      <c:catAx>
        <c:axId val="203811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78475648"/>
        <c:crosses val="autoZero"/>
        <c:auto val="1"/>
        <c:lblAlgn val="ctr"/>
        <c:lblOffset val="100"/>
        <c:noMultiLvlLbl val="1"/>
      </c:catAx>
      <c:valAx>
        <c:axId val="278475648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3811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Crecimiento</a:t>
            </a:r>
            <a:r>
              <a:rPr lang="es-PE" baseline="0"/>
              <a:t> de </a:t>
            </a:r>
            <a:r>
              <a:rPr lang="es-PE"/>
              <a:t>Inversión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shock2!$I$17:$I$90</c:f>
              <c:numCache>
                <c:formatCode>General</c:formatCode>
                <c:ptCount val="74"/>
                <c:pt idx="0">
                  <c:v>9.7462618084698249E-4</c:v>
                </c:pt>
                <c:pt idx="1">
                  <c:v>9.4327838869401326E-4</c:v>
                </c:pt>
                <c:pt idx="2">
                  <c:v>9.1322169398022623E-4</c:v>
                </c:pt>
                <c:pt idx="3">
                  <c:v>8.8438543472890707E-4</c:v>
                </c:pt>
                <c:pt idx="4">
                  <c:v>8.5670395052095394E-4</c:v>
                </c:pt>
                <c:pt idx="5">
                  <c:v>8.3011614721129057E-4</c:v>
                </c:pt>
                <c:pt idx="6">
                  <c:v>8.0456510635040779E-4</c:v>
                </c:pt>
                <c:pt idx="7">
                  <c:v>7.7999773403547579E-4</c:v>
                </c:pt>
                <c:pt idx="8">
                  <c:v>7.5636444463533792E-4</c:v>
                </c:pt>
                <c:pt idx="9">
                  <c:v>7.3361887540102089E-4</c:v>
                </c:pt>
                <c:pt idx="10">
                  <c:v>7.1171762851562903E-4</c:v>
                </c:pt>
                <c:pt idx="11">
                  <c:v>6.9062003753983525E-4</c:v>
                </c:pt>
                <c:pt idx="12">
                  <c:v>6.7028795561330234E-4</c:v>
                </c:pt>
                <c:pt idx="13">
                  <c:v>6.5068556307634751E-4</c:v>
                </c:pt>
                <c:pt idx="14">
                  <c:v>6.3177919247414671E-4</c:v>
                </c:pt>
                <c:pt idx="15">
                  <c:v>6.1353716912981859E-4</c:v>
                </c:pt>
                <c:pt idx="16">
                  <c:v>5.9592966569921302E-4</c:v>
                </c:pt>
                <c:pt idx="17">
                  <c:v>5.7892856929653291E-4</c:v>
                </c:pt>
                <c:pt idx="18">
                  <c:v>5.6250735994067824E-4</c:v>
                </c:pt>
                <c:pt idx="19">
                  <c:v>5.4664099921097886E-4</c:v>
                </c:pt>
                <c:pt idx="20">
                  <c:v>5.3130582813132321E-4</c:v>
                </c:pt>
                <c:pt idx="21">
                  <c:v>5.1647947339317213E-4</c:v>
                </c:pt>
                <c:pt idx="22">
                  <c:v>5.02140761146741E-4</c:v>
                </c:pt>
                <c:pt idx="23">
                  <c:v>4.8826963763937137E-4</c:v>
                </c:pt>
                <c:pt idx="24">
                  <c:v>4.7484709609535436E-4</c:v>
                </c:pt>
                <c:pt idx="25">
                  <c:v>4.6185510925300655E-4</c:v>
                </c:pt>
                <c:pt idx="26">
                  <c:v>4.4927656706872376E-4</c:v>
                </c:pt>
                <c:pt idx="27">
                  <c:v>4.3709521912194127E-4</c:v>
                </c:pt>
                <c:pt idx="28">
                  <c:v>4.2529562131998766E-4</c:v>
                </c:pt>
                <c:pt idx="29">
                  <c:v>-5.2847844448508097E-3</c:v>
                </c:pt>
                <c:pt idx="30">
                  <c:v>5.5980437755542845E-4</c:v>
                </c:pt>
                <c:pt idx="31">
                  <c:v>5.440288511204816E-4</c:v>
                </c:pt>
                <c:pt idx="32">
                  <c:v>5.2878066917227962E-4</c:v>
                </c:pt>
                <c:pt idx="33">
                  <c:v>5.1403766569113607E-4</c:v>
                </c:pt>
                <c:pt idx="34">
                  <c:v>4.9977886032159802E-4</c:v>
                </c:pt>
                <c:pt idx="35">
                  <c:v>4.8598438010927225E-4</c:v>
                </c:pt>
                <c:pt idx="36">
                  <c:v>4.7263538736164179E-4</c:v>
                </c:pt>
                <c:pt idx="37">
                  <c:v>4.5971401308997351E-4</c:v>
                </c:pt>
                <c:pt idx="38">
                  <c:v>4.4720329553316063E-4</c:v>
                </c:pt>
                <c:pt idx="39">
                  <c:v>4.3508712331274957E-4</c:v>
                </c:pt>
                <c:pt idx="40">
                  <c:v>4.233501828210251E-4</c:v>
                </c:pt>
                <c:pt idx="41">
                  <c:v>4.1197790947578028E-4</c:v>
                </c:pt>
                <c:pt idx="42">
                  <c:v>4.0095644251891827E-4</c:v>
                </c:pt>
                <c:pt idx="43">
                  <c:v>3.9027258305446288E-4</c:v>
                </c:pt>
                <c:pt idx="44">
                  <c:v>3.7991375506485348E-4</c:v>
                </c:pt>
                <c:pt idx="45">
                  <c:v>3.6986796915772224E-4</c:v>
                </c:pt>
                <c:pt idx="46">
                  <c:v>3.6012378882399609E-4</c:v>
                </c:pt>
                <c:pt idx="47">
                  <c:v>3.5067029900637259E-4</c:v>
                </c:pt>
                <c:pt idx="48">
                  <c:v>3.4149707679675956E-4</c:v>
                </c:pt>
                <c:pt idx="49">
                  <c:v>3.3259416409059384E-4</c:v>
                </c:pt>
                <c:pt idx="50">
                  <c:v>3.2395204205704076E-4</c:v>
                </c:pt>
                <c:pt idx="51">
                  <c:v>3.1556160727630456E-4</c:v>
                </c:pt>
                <c:pt idx="52">
                  <c:v>3.0741414942303535E-4</c:v>
                </c:pt>
                <c:pt idx="53">
                  <c:v>2.9950133037814908E-4</c:v>
                </c:pt>
                <c:pt idx="54">
                  <c:v>2.9181516466825208E-4</c:v>
                </c:pt>
                <c:pt idx="55">
                  <c:v>2.8434800112520087E-4</c:v>
                </c:pt>
                <c:pt idx="56">
                  <c:v>2.770925056880813E-4</c:v>
                </c:pt>
                <c:pt idx="57">
                  <c:v>2.7004164526167607E-4</c:v>
                </c:pt>
                <c:pt idx="58">
                  <c:v>2.6318867254992995E-4</c:v>
                </c:pt>
                <c:pt idx="59">
                  <c:v>2.5652711181001209E-4</c:v>
                </c:pt>
                <c:pt idx="60">
                  <c:v>2.5005074544703909E-4</c:v>
                </c:pt>
                <c:pt idx="61">
                  <c:v>2.4375360140482805E-4</c:v>
                </c:pt>
                <c:pt idx="62">
                  <c:v>2.3762994128806447E-4</c:v>
                </c:pt>
                <c:pt idx="63">
                  <c:v>2.3167424917480695E-4</c:v>
                </c:pt>
                <c:pt idx="64">
                  <c:v>2.2588122106537156E-4</c:v>
                </c:pt>
                <c:pt idx="65">
                  <c:v>2.2024575493317933E-4</c:v>
                </c:pt>
                <c:pt idx="66">
                  <c:v>2.1476294133226936E-4</c:v>
                </c:pt>
                <c:pt idx="67">
                  <c:v>2.0942805452328628E-4</c:v>
                </c:pt>
                <c:pt idx="68">
                  <c:v>2.0423654409795766E-4</c:v>
                </c:pt>
                <c:pt idx="69">
                  <c:v>1.9918402705032534E-4</c:v>
                </c:pt>
                <c:pt idx="70">
                  <c:v>1.9426628028140769E-4</c:v>
                </c:pt>
                <c:pt idx="71">
                  <c:v>1.8947923350598472E-4</c:v>
                </c:pt>
                <c:pt idx="72">
                  <c:v>1.8481896253463859E-4</c:v>
                </c:pt>
                <c:pt idx="73">
                  <c:v>1.8028168290795676E-4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A-410B-9264-D6EBAA289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4008672"/>
        <c:axId val="1754002432"/>
      </c:lineChart>
      <c:catAx>
        <c:axId val="17540086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4002432"/>
        <c:crosses val="autoZero"/>
        <c:auto val="1"/>
        <c:lblAlgn val="ctr"/>
        <c:lblOffset val="100"/>
        <c:noMultiLvlLbl val="0"/>
      </c:catAx>
      <c:valAx>
        <c:axId val="175400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400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18507</xdr:colOff>
      <xdr:row>15</xdr:row>
      <xdr:rowOff>15478</xdr:rowOff>
    </xdr:from>
    <xdr:to>
      <xdr:col>14</xdr:col>
      <xdr:colOff>18507</xdr:colOff>
      <xdr:row>29</xdr:row>
      <xdr:rowOff>91380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19804</xdr:colOff>
      <xdr:row>29</xdr:row>
      <xdr:rowOff>136028</xdr:rowOff>
    </xdr:from>
    <xdr:to>
      <xdr:col>14</xdr:col>
      <xdr:colOff>19804</xdr:colOff>
      <xdr:row>44</xdr:row>
      <xdr:rowOff>22175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25773</xdr:colOff>
      <xdr:row>44</xdr:row>
      <xdr:rowOff>53726</xdr:rowOff>
    </xdr:from>
    <xdr:to>
      <xdr:col>14</xdr:col>
      <xdr:colOff>25773</xdr:colOff>
      <xdr:row>58</xdr:row>
      <xdr:rowOff>129629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</xdr:colOff>
      <xdr:row>1</xdr:row>
      <xdr:rowOff>47625</xdr:rowOff>
    </xdr:from>
    <xdr:to>
      <xdr:col>14</xdr:col>
      <xdr:colOff>19050</xdr:colOff>
      <xdr:row>14</xdr:row>
      <xdr:rowOff>161627</xdr:rowOff>
    </xdr:to>
    <xdr:graphicFrame macro="">
      <xdr:nvGraphicFramePr>
        <xdr:cNvPr id="5" name="图表 1">
          <a:extLst>
            <a:ext uri="{FF2B5EF4-FFF2-40B4-BE49-F238E27FC236}">
              <a16:creationId xmlns:a16="http://schemas.microsoft.com/office/drawing/2014/main" id="{8F037393-4C8A-4A45-928E-2703D3F3D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28032</xdr:colOff>
      <xdr:row>15</xdr:row>
      <xdr:rowOff>15478</xdr:rowOff>
    </xdr:from>
    <xdr:to>
      <xdr:col>14</xdr:col>
      <xdr:colOff>28032</xdr:colOff>
      <xdr:row>29</xdr:row>
      <xdr:rowOff>91380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D446155-2887-4416-9BEF-25E4B307E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19804</xdr:colOff>
      <xdr:row>29</xdr:row>
      <xdr:rowOff>136028</xdr:rowOff>
    </xdr:from>
    <xdr:to>
      <xdr:col>14</xdr:col>
      <xdr:colOff>19804</xdr:colOff>
      <xdr:row>44</xdr:row>
      <xdr:rowOff>22175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DA14C82-E5E4-42B8-8A7E-4A1E755A4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25773</xdr:colOff>
      <xdr:row>44</xdr:row>
      <xdr:rowOff>53726</xdr:rowOff>
    </xdr:from>
    <xdr:to>
      <xdr:col>14</xdr:col>
      <xdr:colOff>25773</xdr:colOff>
      <xdr:row>58</xdr:row>
      <xdr:rowOff>129629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09976C0-CE0B-4E6D-A25D-1DC20422B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</xdr:colOff>
      <xdr:row>1</xdr:row>
      <xdr:rowOff>47625</xdr:rowOff>
    </xdr:from>
    <xdr:to>
      <xdr:col>14</xdr:col>
      <xdr:colOff>19050</xdr:colOff>
      <xdr:row>14</xdr:row>
      <xdr:rowOff>161627</xdr:rowOff>
    </xdr:to>
    <xdr:graphicFrame macro="">
      <xdr:nvGraphicFramePr>
        <xdr:cNvPr id="5" name="图表 1">
          <a:extLst>
            <a:ext uri="{FF2B5EF4-FFF2-40B4-BE49-F238E27FC236}">
              <a16:creationId xmlns:a16="http://schemas.microsoft.com/office/drawing/2014/main" id="{31ED06D0-2A3E-4A89-AC36-447A6025B0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52386</xdr:colOff>
      <xdr:row>59</xdr:row>
      <xdr:rowOff>19050</xdr:rowOff>
    </xdr:from>
    <xdr:to>
      <xdr:col>14</xdr:col>
      <xdr:colOff>19049</xdr:colOff>
      <xdr:row>74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21A8586-3CEB-411F-BBDA-B4C618B47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28032</xdr:colOff>
      <xdr:row>15</xdr:row>
      <xdr:rowOff>15478</xdr:rowOff>
    </xdr:from>
    <xdr:to>
      <xdr:col>14</xdr:col>
      <xdr:colOff>28032</xdr:colOff>
      <xdr:row>29</xdr:row>
      <xdr:rowOff>91380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3508AC9-F2AE-4D10-9B9F-60C251910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19804</xdr:colOff>
      <xdr:row>29</xdr:row>
      <xdr:rowOff>136028</xdr:rowOff>
    </xdr:from>
    <xdr:to>
      <xdr:col>14</xdr:col>
      <xdr:colOff>19804</xdr:colOff>
      <xdr:row>44</xdr:row>
      <xdr:rowOff>22175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48918B8-EA6D-490A-81F8-8F2F40CB9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25773</xdr:colOff>
      <xdr:row>44</xdr:row>
      <xdr:rowOff>53726</xdr:rowOff>
    </xdr:from>
    <xdr:to>
      <xdr:col>14</xdr:col>
      <xdr:colOff>25773</xdr:colOff>
      <xdr:row>58</xdr:row>
      <xdr:rowOff>129629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26C1F9F-305D-4614-A16D-18A19EFBB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</xdr:colOff>
      <xdr:row>1</xdr:row>
      <xdr:rowOff>47625</xdr:rowOff>
    </xdr:from>
    <xdr:to>
      <xdr:col>14</xdr:col>
      <xdr:colOff>19050</xdr:colOff>
      <xdr:row>14</xdr:row>
      <xdr:rowOff>161627</xdr:rowOff>
    </xdr:to>
    <xdr:graphicFrame macro="">
      <xdr:nvGraphicFramePr>
        <xdr:cNvPr id="5" name="图表 1">
          <a:extLst>
            <a:ext uri="{FF2B5EF4-FFF2-40B4-BE49-F238E27FC236}">
              <a16:creationId xmlns:a16="http://schemas.microsoft.com/office/drawing/2014/main" id="{17B55676-EEB6-446E-82CF-9F177BFF0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52386</xdr:colOff>
      <xdr:row>59</xdr:row>
      <xdr:rowOff>19050</xdr:rowOff>
    </xdr:from>
    <xdr:to>
      <xdr:col>14</xdr:col>
      <xdr:colOff>19049</xdr:colOff>
      <xdr:row>74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4A09EE2-2A00-47FC-810D-FE8FA94D6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showGridLines="0" tabSelected="1" topLeftCell="A16" zoomScaleNormal="100" workbookViewId="0">
      <selection activeCell="B28" sqref="B28"/>
    </sheetView>
  </sheetViews>
  <sheetFormatPr baseColWidth="10" defaultColWidth="11.375" defaultRowHeight="14.25"/>
  <cols>
    <col min="1" max="7" width="10.375" style="1" customWidth="1"/>
    <col min="8" max="16384" width="11.375" style="1"/>
  </cols>
  <sheetData>
    <row r="1" spans="1:14" ht="41.25" customHeight="1">
      <c r="A1" s="18" t="s">
        <v>20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3" spans="1:14" ht="15">
      <c r="B3" s="12" t="s">
        <v>0</v>
      </c>
      <c r="C3" s="12"/>
      <c r="E3" s="12" t="s">
        <v>1</v>
      </c>
      <c r="F3" s="12"/>
    </row>
    <row r="4" spans="1:14">
      <c r="B4" s="2" t="s">
        <v>2</v>
      </c>
      <c r="C4" s="3">
        <v>2.5000000000000001E-2</v>
      </c>
      <c r="E4" s="2" t="s">
        <v>6</v>
      </c>
      <c r="F4" s="3">
        <f>(1/C6)-1+C4</f>
        <v>2.7506265664160347E-2</v>
      </c>
    </row>
    <row r="5" spans="1:14" ht="15">
      <c r="B5" s="5" t="s">
        <v>16</v>
      </c>
      <c r="C5" s="3">
        <v>0.8</v>
      </c>
      <c r="E5" s="2" t="s">
        <v>7</v>
      </c>
      <c r="F5" s="3">
        <f>C7*(C8*C10^(1-C7))^(1/C7)</f>
        <v>1.0231910996030893</v>
      </c>
    </row>
    <row r="6" spans="1:14" ht="15">
      <c r="B6" s="5" t="s">
        <v>17</v>
      </c>
      <c r="C6" s="3">
        <v>0.99750000000000005</v>
      </c>
      <c r="E6" s="2" t="s">
        <v>8</v>
      </c>
      <c r="F6" s="3">
        <f>(C5*C7)/(C5*C7+(1-C5)*(1-C4*C10))</f>
        <v>0.7985607556033083</v>
      </c>
    </row>
    <row r="7" spans="1:14">
      <c r="B7" s="2" t="s">
        <v>3</v>
      </c>
      <c r="C7" s="3">
        <v>0.91</v>
      </c>
      <c r="E7" s="2" t="s">
        <v>9</v>
      </c>
      <c r="F7" s="3">
        <f>F6*(C8*C10^(1-C7))^(1/C7)</f>
        <v>0.89789039299518991</v>
      </c>
    </row>
    <row r="8" spans="1:14">
      <c r="B8" s="2" t="s">
        <v>4</v>
      </c>
      <c r="C8" s="3">
        <v>1</v>
      </c>
      <c r="E8" s="2" t="s">
        <v>10</v>
      </c>
      <c r="F8" s="3">
        <f>C10*F7</f>
        <v>2.9378810034129677</v>
      </c>
    </row>
    <row r="9" spans="1:14" ht="18.75">
      <c r="B9" s="2" t="s">
        <v>14</v>
      </c>
      <c r="C9" s="3">
        <v>1</v>
      </c>
      <c r="E9" s="2" t="s">
        <v>11</v>
      </c>
      <c r="F9" s="3">
        <f>F7*(1-C4*C10)</f>
        <v>0.82444336790986572</v>
      </c>
    </row>
    <row r="10" spans="1:14">
      <c r="B10" s="2" t="s">
        <v>5</v>
      </c>
      <c r="C10" s="3">
        <f>(1-C7)/(F4)</f>
        <v>3.2719817767653812</v>
      </c>
      <c r="E10" s="2" t="s">
        <v>12</v>
      </c>
      <c r="F10" s="3">
        <f>F7-F9</f>
        <v>7.3447025085324191E-2</v>
      </c>
    </row>
    <row r="11" spans="1:14" ht="18.75">
      <c r="B11" s="2" t="s">
        <v>15</v>
      </c>
      <c r="C11" s="3">
        <v>1</v>
      </c>
      <c r="E11" s="2" t="s">
        <v>18</v>
      </c>
      <c r="F11" s="3">
        <f>F10/F7</f>
        <v>8.1799544419134521E-2</v>
      </c>
    </row>
    <row r="12" spans="1:14">
      <c r="B12" s="14"/>
      <c r="C12" s="14"/>
      <c r="E12" s="14"/>
      <c r="F12" s="15"/>
    </row>
    <row r="13" spans="1:14">
      <c r="B13" s="4"/>
      <c r="C13" s="4"/>
    </row>
    <row r="14" spans="1:14" ht="15">
      <c r="A14" s="16" t="s">
        <v>19</v>
      </c>
      <c r="B14" s="17"/>
      <c r="C14" s="17"/>
      <c r="D14" s="17"/>
      <c r="E14" s="17"/>
      <c r="F14" s="17"/>
      <c r="G14" s="17"/>
      <c r="H14" s="17"/>
    </row>
    <row r="15" spans="1:14" ht="15">
      <c r="A15" s="13" t="s">
        <v>13</v>
      </c>
      <c r="B15" s="13" t="s">
        <v>10</v>
      </c>
      <c r="C15" s="13" t="s">
        <v>12</v>
      </c>
      <c r="D15" s="13" t="s">
        <v>9</v>
      </c>
      <c r="E15" s="13" t="s">
        <v>11</v>
      </c>
      <c r="F15" s="13" t="s">
        <v>8</v>
      </c>
      <c r="G15" s="13" t="s">
        <v>21</v>
      </c>
      <c r="H15" s="13" t="s">
        <v>22</v>
      </c>
    </row>
    <row r="16" spans="1:14">
      <c r="A16" s="4">
        <v>1960</v>
      </c>
      <c r="B16" s="9">
        <f>(1-C4)*C9+C11</f>
        <v>1.9750000000000001</v>
      </c>
      <c r="C16" s="6">
        <f>$F$11*D16</f>
        <v>7.0868325401049925E-2</v>
      </c>
      <c r="D16" s="8">
        <f>$C$8*B16^(1-$C$7)*F16^($C$7)</f>
        <v>0.8663657714024191</v>
      </c>
      <c r="E16" s="8">
        <f>D16-C16</f>
        <v>0.79549744600136918</v>
      </c>
      <c r="F16" s="6">
        <f>$F$6</f>
        <v>0.7985607556033083</v>
      </c>
    </row>
    <row r="17" spans="1:8">
      <c r="A17" s="4">
        <f>A16+1</f>
        <v>1961</v>
      </c>
      <c r="B17" s="7">
        <f>(1-$C$4)*B16+C16</f>
        <v>1.9964933254010502</v>
      </c>
      <c r="C17" s="6">
        <f t="shared" ref="C17:C80" si="0">$F$11*D17</f>
        <v>7.0937395526378566E-2</v>
      </c>
      <c r="D17" s="8">
        <f t="shared" ref="D17:D80" si="1">$C$8*B17^(1-$C$7)*F17^($C$7)</f>
        <v>0.86721015416541747</v>
      </c>
      <c r="E17" s="8">
        <f>D17-C17</f>
        <v>0.7962727586390389</v>
      </c>
      <c r="F17" s="6">
        <f>$F$6</f>
        <v>0.7985607556033083</v>
      </c>
      <c r="G17" s="6">
        <f>D17/D16-1</f>
        <v>9.7462618084676045E-4</v>
      </c>
      <c r="H17" s="6">
        <f>B17/B16-1</f>
        <v>1.0882696405595027E-2</v>
      </c>
    </row>
    <row r="18" spans="1:8">
      <c r="A18" s="4">
        <f t="shared" ref="A18:A81" si="2">A17+1</f>
        <v>1962</v>
      </c>
      <c r="B18" s="7">
        <f>(1-$C$4)*B17+C17</f>
        <v>2.0175183877924026</v>
      </c>
      <c r="C18" s="6">
        <f t="shared" si="0"/>
        <v>7.1004309238528837E-2</v>
      </c>
      <c r="D18" s="8">
        <f t="shared" si="1"/>
        <v>0.86802817476229777</v>
      </c>
      <c r="E18" s="8">
        <f t="shared" ref="E18:E80" si="3">D18-C18</f>
        <v>0.79702386552376892</v>
      </c>
      <c r="F18" s="6">
        <f t="shared" ref="F17:F24" si="4">$F$6</f>
        <v>0.7985607556033083</v>
      </c>
      <c r="G18" s="6">
        <f t="shared" ref="G18:G81" si="5">D18/D17-1</f>
        <v>9.4327838869401326E-4</v>
      </c>
      <c r="H18" s="6">
        <f t="shared" ref="H18:H81" si="6">B18/B17-1</f>
        <v>1.053099558303261E-2</v>
      </c>
    </row>
    <row r="19" spans="1:8">
      <c r="A19" s="4">
        <f t="shared" si="2"/>
        <v>1963</v>
      </c>
      <c r="B19" s="7">
        <f t="shared" ref="B19:B82" si="7">(1-$C$4)*B18+C18</f>
        <v>2.0380847373361211</v>
      </c>
      <c r="C19" s="6">
        <f>$F$11*D19</f>
        <v>7.1069151914091536E-2</v>
      </c>
      <c r="D19" s="8">
        <f t="shared" si="1"/>
        <v>0.86882087692247667</v>
      </c>
      <c r="E19" s="8">
        <f t="shared" si="3"/>
        <v>0.79775172500838509</v>
      </c>
      <c r="F19" s="6">
        <f t="shared" si="4"/>
        <v>0.7985607556033083</v>
      </c>
      <c r="G19" s="6">
        <f t="shared" si="5"/>
        <v>9.1322169398022623E-4</v>
      </c>
      <c r="H19" s="6">
        <f t="shared" si="6"/>
        <v>1.0193884560438793E-2</v>
      </c>
    </row>
    <row r="20" spans="1:8">
      <c r="A20" s="4">
        <f t="shared" si="2"/>
        <v>1964</v>
      </c>
      <c r="B20" s="7">
        <f t="shared" si="7"/>
        <v>2.0582017708168094</v>
      </c>
      <c r="C20" s="6">
        <f t="shared" si="0"/>
        <v>7.1132004436902888E-2</v>
      </c>
      <c r="D20" s="8">
        <f t="shared" si="1"/>
        <v>0.86958924945141525</v>
      </c>
      <c r="E20" s="8">
        <f t="shared" si="3"/>
        <v>0.79845724501451232</v>
      </c>
      <c r="F20" s="6">
        <f t="shared" si="4"/>
        <v>0.7985607556033083</v>
      </c>
      <c r="G20" s="6">
        <f t="shared" si="5"/>
        <v>8.8438543472890707E-4</v>
      </c>
      <c r="H20" s="6">
        <f t="shared" si="6"/>
        <v>9.8705579371456409E-3</v>
      </c>
    </row>
    <row r="21" spans="1:8">
      <c r="A21" s="4">
        <f t="shared" si="2"/>
        <v>1965</v>
      </c>
      <c r="B21" s="7">
        <f>(1-$C$4)*B20+C20</f>
        <v>2.0778787309832918</v>
      </c>
      <c r="C21" s="6">
        <f t="shared" si="0"/>
        <v>7.1192943506112452E-2</v>
      </c>
      <c r="D21" s="8">
        <f t="shared" si="1"/>
        <v>0.87033422999675081</v>
      </c>
      <c r="E21" s="8">
        <f t="shared" si="3"/>
        <v>0.79914128649063831</v>
      </c>
      <c r="F21" s="6">
        <f t="shared" si="4"/>
        <v>0.7985607556033083</v>
      </c>
      <c r="G21" s="6">
        <f t="shared" si="5"/>
        <v>8.5670395052095394E-4</v>
      </c>
      <c r="H21" s="6">
        <f t="shared" si="6"/>
        <v>9.5602678247981299E-3</v>
      </c>
    </row>
    <row r="22" spans="1:8">
      <c r="A22" s="4">
        <f t="shared" si="2"/>
        <v>1966</v>
      </c>
      <c r="B22" s="7">
        <f t="shared" si="7"/>
        <v>2.0971247062148217</v>
      </c>
      <c r="C22" s="6">
        <f t="shared" si="0"/>
        <v>7.1252041918084374E-2</v>
      </c>
      <c r="D22" s="8">
        <f t="shared" si="1"/>
        <v>0.87105670849454164</v>
      </c>
      <c r="E22" s="8">
        <f>D22-C22</f>
        <v>0.79980466657645732</v>
      </c>
      <c r="F22" s="6">
        <f>$F$6</f>
        <v>0.7985607556033083</v>
      </c>
      <c r="G22" s="6">
        <f t="shared" si="5"/>
        <v>8.3011614721106852E-4</v>
      </c>
      <c r="H22" s="6">
        <f t="shared" si="6"/>
        <v>9.2623187987599387E-3</v>
      </c>
    </row>
    <row r="23" spans="1:8">
      <c r="A23" s="4">
        <f t="shared" si="2"/>
        <v>1967</v>
      </c>
      <c r="B23" s="7">
        <f t="shared" si="7"/>
        <v>2.1159486304775355</v>
      </c>
      <c r="C23" s="6">
        <f t="shared" si="0"/>
        <v>7.1309368824767877E-2</v>
      </c>
      <c r="D23" s="8">
        <f t="shared" si="1"/>
        <v>0.87175753032784875</v>
      </c>
      <c r="E23" s="8">
        <f t="shared" si="3"/>
        <v>0.80044816150308085</v>
      </c>
      <c r="F23" s="6">
        <f t="shared" si="4"/>
        <v>0.7985607556033083</v>
      </c>
      <c r="G23" s="6">
        <f t="shared" si="5"/>
        <v>8.0456510635040779E-4</v>
      </c>
      <c r="H23" s="6">
        <f t="shared" si="6"/>
        <v>8.9760633723541261E-3</v>
      </c>
    </row>
    <row r="24" spans="1:8">
      <c r="A24" s="4">
        <f t="shared" si="2"/>
        <v>1968</v>
      </c>
      <c r="B24" s="7">
        <f t="shared" si="7"/>
        <v>2.1343592835403649</v>
      </c>
      <c r="C24" s="6">
        <f t="shared" si="0"/>
        <v>7.1364989970866696E-2</v>
      </c>
      <c r="D24" s="8">
        <f t="shared" si="1"/>
        <v>0.8724374992261329</v>
      </c>
      <c r="E24" s="8">
        <f t="shared" si="3"/>
        <v>0.80107250925526619</v>
      </c>
      <c r="F24" s="6">
        <f t="shared" si="4"/>
        <v>0.7985607556033083</v>
      </c>
      <c r="G24" s="6">
        <f t="shared" si="5"/>
        <v>7.7999773403547579E-4</v>
      </c>
      <c r="H24" s="6">
        <f t="shared" si="6"/>
        <v>8.7008979318530244E-3</v>
      </c>
    </row>
    <row r="25" spans="1:8">
      <c r="A25" s="4">
        <f t="shared" si="2"/>
        <v>1969</v>
      </c>
      <c r="B25" s="7">
        <f t="shared" si="7"/>
        <v>2.1523652914227225</v>
      </c>
      <c r="C25" s="6">
        <f t="shared" si="0"/>
        <v>7.1418967911872411E-2</v>
      </c>
      <c r="D25" s="8">
        <f t="shared" si="1"/>
        <v>0.87309737993071401</v>
      </c>
      <c r="E25" s="8">
        <f t="shared" si="3"/>
        <v>0.8016784120188416</v>
      </c>
      <c r="F25" s="6">
        <f t="shared" ref="F25:F80" si="8">F16</f>
        <v>0.7985607556033083</v>
      </c>
      <c r="G25" s="6">
        <f t="shared" si="5"/>
        <v>7.5636444463511587E-4</v>
      </c>
      <c r="H25" s="6">
        <f t="shared" si="6"/>
        <v>8.4362590784108349E-3</v>
      </c>
    </row>
    <row r="26" spans="1:8">
      <c r="A26" s="4">
        <f t="shared" si="2"/>
        <v>1970</v>
      </c>
      <c r="B26" s="7">
        <f t="shared" si="7"/>
        <v>2.1699751270490268</v>
      </c>
      <c r="C26" s="6">
        <f t="shared" si="0"/>
        <v>7.1471362214794221E-2</v>
      </c>
      <c r="D26" s="8">
        <f t="shared" si="1"/>
        <v>0.87373790064869439</v>
      </c>
      <c r="E26" s="8">
        <f t="shared" si="3"/>
        <v>0.80226653843390017</v>
      </c>
      <c r="F26" s="6">
        <f t="shared" si="8"/>
        <v>0.7985607556033083</v>
      </c>
      <c r="G26" s="6">
        <f t="shared" si="5"/>
        <v>7.3361887540102089E-4</v>
      </c>
      <c r="H26" s="6">
        <f t="shared" si="6"/>
        <v>8.1816203301923185E-3</v>
      </c>
    </row>
    <row r="27" spans="1:8">
      <c r="A27" s="4">
        <f t="shared" si="2"/>
        <v>1971</v>
      </c>
      <c r="B27" s="11">
        <f t="shared" si="7"/>
        <v>2.1871971110875954</v>
      </c>
      <c r="C27" s="6">
        <f t="shared" si="0"/>
        <v>7.1522229643216514E-2</v>
      </c>
      <c r="D27" s="8">
        <f t="shared" si="1"/>
        <v>0.8743597553152882</v>
      </c>
      <c r="E27" s="8">
        <f t="shared" si="3"/>
        <v>0.80283752567207167</v>
      </c>
      <c r="F27" s="6">
        <f t="shared" si="8"/>
        <v>0.7985607556033083</v>
      </c>
      <c r="G27" s="6">
        <f t="shared" si="5"/>
        <v>7.1171762851540699E-4</v>
      </c>
      <c r="H27" s="6">
        <f t="shared" si="6"/>
        <v>7.9364891439972496E-3</v>
      </c>
    </row>
    <row r="28" spans="1:8">
      <c r="A28" s="4">
        <f t="shared" si="2"/>
        <v>1972</v>
      </c>
      <c r="B28" s="7">
        <f t="shared" si="7"/>
        <v>2.2040394129536218</v>
      </c>
      <c r="C28" s="6">
        <f t="shared" si="0"/>
        <v>7.1571624328137642E-2</v>
      </c>
      <c r="D28" s="8">
        <f t="shared" si="1"/>
        <v>0.87496360568232745</v>
      </c>
      <c r="E28" s="8">
        <f t="shared" si="3"/>
        <v>0.80339198135418977</v>
      </c>
      <c r="F28" s="6">
        <f t="shared" si="8"/>
        <v>0.7985607556033083</v>
      </c>
      <c r="G28" s="6">
        <f t="shared" si="5"/>
        <v>6.9062003753983525E-4</v>
      </c>
      <c r="H28" s="6">
        <f t="shared" si="6"/>
        <v>7.7004042208392853E-3</v>
      </c>
    </row>
    <row r="29" spans="1:8">
      <c r="A29" s="4">
        <f t="shared" si="2"/>
        <v>1973</v>
      </c>
      <c r="B29" s="7">
        <f t="shared" si="7"/>
        <v>2.2205100519579188</v>
      </c>
      <c r="C29" s="6">
        <f t="shared" si="0"/>
        <v>7.161959792588847E-2</v>
      </c>
      <c r="D29" s="8">
        <f t="shared" si="1"/>
        <v>0.87555008324881622</v>
      </c>
      <c r="E29" s="8">
        <f t="shared" si="3"/>
        <v>0.80393048532292777</v>
      </c>
      <c r="F29" s="6">
        <f t="shared" si="8"/>
        <v>0.7985607556033083</v>
      </c>
      <c r="G29" s="6">
        <f t="shared" si="5"/>
        <v>6.7028795561330234E-4</v>
      </c>
      <c r="H29" s="6">
        <f t="shared" si="6"/>
        <v>7.4729330643978908E-3</v>
      </c>
    </row>
    <row r="30" spans="1:8">
      <c r="A30" s="4">
        <f t="shared" si="2"/>
        <v>1974</v>
      </c>
      <c r="B30" s="7">
        <f t="shared" si="7"/>
        <v>2.2366168985848591</v>
      </c>
      <c r="C30" s="6">
        <f t="shared" si="0"/>
        <v>7.1666199764292171E-2</v>
      </c>
      <c r="D30" s="8">
        <f t="shared" si="1"/>
        <v>0.87611979104773652</v>
      </c>
      <c r="E30" s="8">
        <f t="shared" si="3"/>
        <v>0.80445359128344429</v>
      </c>
      <c r="F30" s="6">
        <f t="shared" si="8"/>
        <v>0.7985607556033083</v>
      </c>
      <c r="G30" s="6">
        <f t="shared" si="5"/>
        <v>6.5068556307634751E-4</v>
      </c>
      <c r="H30" s="6">
        <f t="shared" si="6"/>
        <v>7.2536697650786852E-3</v>
      </c>
    </row>
    <row r="31" spans="1:8">
      <c r="A31" s="4">
        <f t="shared" si="2"/>
        <v>1975</v>
      </c>
      <c r="B31" s="7">
        <f t="shared" si="7"/>
        <v>2.2523676758845297</v>
      </c>
      <c r="C31" s="6">
        <f t="shared" si="0"/>
        <v>7.1711476978106939E-2</v>
      </c>
      <c r="D31" s="8">
        <f t="shared" si="1"/>
        <v>0.87667330530183518</v>
      </c>
      <c r="E31" s="8">
        <f t="shared" si="3"/>
        <v>0.8049618283237282</v>
      </c>
      <c r="F31" s="6">
        <f t="shared" si="8"/>
        <v>0.7985607556033083</v>
      </c>
      <c r="G31" s="6">
        <f t="shared" si="5"/>
        <v>6.3177919247414671E-4</v>
      </c>
      <c r="H31" s="6">
        <f t="shared" si="6"/>
        <v>7.0422329857366961E-3</v>
      </c>
    </row>
    <row r="32" spans="1:8">
      <c r="A32" s="4">
        <f t="shared" si="2"/>
        <v>1976</v>
      </c>
      <c r="B32" s="7">
        <f t="shared" si="7"/>
        <v>2.2677699609655231</v>
      </c>
      <c r="C32" s="6">
        <f t="shared" si="0"/>
        <v>7.1755474634686206E-2</v>
      </c>
      <c r="D32" s="8">
        <f t="shared" si="1"/>
        <v>0.87721117695982176</v>
      </c>
      <c r="E32" s="8">
        <f t="shared" si="3"/>
        <v>0.80545570232513553</v>
      </c>
      <c r="F32" s="6">
        <f t="shared" si="8"/>
        <v>0.7985607556033083</v>
      </c>
      <c r="G32" s="6">
        <f t="shared" si="5"/>
        <v>6.1353716912981859E-4</v>
      </c>
      <c r="H32" s="6">
        <f t="shared" si="6"/>
        <v>6.8382641279669532E-3</v>
      </c>
    </row>
    <row r="33" spans="1:8">
      <c r="A33" s="4">
        <f t="shared" si="2"/>
        <v>1977</v>
      </c>
      <c r="B33" s="7">
        <f t="shared" si="7"/>
        <v>2.2828311865760713</v>
      </c>
      <c r="C33" s="6">
        <f t="shared" si="0"/>
        <v>7.1798235850697348E-2</v>
      </c>
      <c r="D33" s="8">
        <f t="shared" si="1"/>
        <v>0.87773393312325498</v>
      </c>
      <c r="E33" s="8">
        <f t="shared" si="3"/>
        <v>0.80593569727255765</v>
      </c>
      <c r="F33" s="6">
        <f t="shared" si="8"/>
        <v>0.7985607556033083</v>
      </c>
      <c r="G33" s="6">
        <f t="shared" si="5"/>
        <v>5.9592966569921302E-4</v>
      </c>
      <c r="H33" s="6">
        <f t="shared" si="6"/>
        <v>6.6414256603593014E-3</v>
      </c>
    </row>
    <row r="34" spans="1:8">
      <c r="A34" s="4">
        <f t="shared" si="2"/>
        <v>1978</v>
      </c>
      <c r="B34" s="7">
        <f t="shared" si="7"/>
        <v>2.2975586427623669</v>
      </c>
      <c r="C34" s="6">
        <f t="shared" si="0"/>
        <v>7.1839801900656405E-2</v>
      </c>
      <c r="D34" s="8">
        <f t="shared" si="1"/>
        <v>0.87824207837338109</v>
      </c>
      <c r="E34" s="8">
        <f t="shared" si="3"/>
        <v>0.80640227647272467</v>
      </c>
      <c r="F34" s="6">
        <f t="shared" si="8"/>
        <v>0.7985607556033083</v>
      </c>
      <c r="G34" s="6">
        <f t="shared" si="5"/>
        <v>5.7892856929653291E-4</v>
      </c>
      <c r="H34" s="6">
        <f t="shared" si="6"/>
        <v>6.4513995922688139E-3</v>
      </c>
    </row>
    <row r="35" spans="1:8">
      <c r="A35" s="4">
        <f t="shared" si="2"/>
        <v>1979</v>
      </c>
      <c r="B35" s="7">
        <f t="shared" si="7"/>
        <v>2.3119594785939639</v>
      </c>
      <c r="C35" s="6">
        <f t="shared" si="0"/>
        <v>7.1880212317962211E-2</v>
      </c>
      <c r="D35" s="8">
        <f t="shared" si="1"/>
        <v>0.87873609600627578</v>
      </c>
      <c r="E35" s="8">
        <f t="shared" si="3"/>
        <v>0.80685588368831351</v>
      </c>
      <c r="F35" s="6">
        <f t="shared" si="8"/>
        <v>0.7985607556033083</v>
      </c>
      <c r="G35" s="6">
        <f t="shared" si="5"/>
        <v>5.6250735994067824E-4</v>
      </c>
      <c r="H35" s="6">
        <f t="shared" si="6"/>
        <v>6.2678860785390089E-3</v>
      </c>
    </row>
    <row r="36" spans="1:8">
      <c r="A36" s="4">
        <f t="shared" si="2"/>
        <v>1980</v>
      </c>
      <c r="B36" s="7">
        <f t="shared" si="7"/>
        <v>2.326040703947077</v>
      </c>
      <c r="C36" s="6">
        <f t="shared" si="0"/>
        <v>7.19195049890472E-2</v>
      </c>
      <c r="D36" s="8">
        <f t="shared" si="1"/>
        <v>0.87921644918383945</v>
      </c>
      <c r="E36" s="8">
        <f t="shared" si="3"/>
        <v>0.80729694419479225</v>
      </c>
      <c r="F36" s="6">
        <f t="shared" si="8"/>
        <v>0.7985607556033083</v>
      </c>
      <c r="G36" s="6">
        <f t="shared" si="5"/>
        <v>5.4664099921097886E-4</v>
      </c>
      <c r="H36" s="6">
        <f t="shared" si="6"/>
        <v>6.0906021422471035E-3</v>
      </c>
    </row>
    <row r="37" spans="1:8">
      <c r="A37" s="4">
        <f t="shared" si="2"/>
        <v>1981</v>
      </c>
      <c r="B37" s="7">
        <f t="shared" si="7"/>
        <v>2.3398091913374475</v>
      </c>
      <c r="C37" s="6">
        <f t="shared" si="0"/>
        <v>7.19577162412042E-2</v>
      </c>
      <c r="D37" s="8">
        <f t="shared" si="1"/>
        <v>0.87968358200747965</v>
      </c>
      <c r="E37" s="8">
        <f t="shared" si="3"/>
        <v>0.80772586576627547</v>
      </c>
      <c r="F37" s="6">
        <f t="shared" si="8"/>
        <v>0.7985607556033083</v>
      </c>
      <c r="G37" s="6">
        <f t="shared" si="5"/>
        <v>5.3130582813110117E-4</v>
      </c>
      <c r="H37" s="6">
        <f t="shared" si="6"/>
        <v>5.9192805039940399E-3</v>
      </c>
    </row>
    <row r="38" spans="1:8">
      <c r="A38" s="4">
        <f t="shared" si="2"/>
        <v>1982</v>
      </c>
      <c r="B38" s="7">
        <f t="shared" si="7"/>
        <v>2.3532716777952158</v>
      </c>
      <c r="C38" s="6">
        <f t="shared" si="0"/>
        <v>7.1994880924595037E-2</v>
      </c>
      <c r="D38" s="8">
        <f t="shared" si="1"/>
        <v>0.88013792052066764</v>
      </c>
      <c r="E38" s="8">
        <f t="shared" si="3"/>
        <v>0.80814303959607259</v>
      </c>
      <c r="F38" s="6">
        <f t="shared" si="8"/>
        <v>0.7985607556033083</v>
      </c>
      <c r="G38" s="6">
        <f t="shared" si="5"/>
        <v>5.1647947339339417E-4</v>
      </c>
      <c r="H38" s="6">
        <f t="shared" si="6"/>
        <v>5.7536685075048055E-3</v>
      </c>
    </row>
    <row r="39" spans="1:8">
      <c r="A39" s="4">
        <f t="shared" si="2"/>
        <v>1983</v>
      </c>
      <c r="B39" s="7">
        <f t="shared" si="7"/>
        <v>2.3664347667749306</v>
      </c>
      <c r="C39" s="6">
        <f t="shared" si="0"/>
        <v>7.2031032488901178E-2</v>
      </c>
      <c r="D39" s="8">
        <f t="shared" si="1"/>
        <v>0.88057987364599188</v>
      </c>
      <c r="E39" s="8">
        <f t="shared" si="3"/>
        <v>0.80854884115709069</v>
      </c>
      <c r="F39" s="6">
        <f t="shared" si="8"/>
        <v>0.7985607556033083</v>
      </c>
      <c r="G39" s="6">
        <f t="shared" si="5"/>
        <v>5.0214076114651895E-4</v>
      </c>
      <c r="H39" s="6">
        <f t="shared" si="6"/>
        <v>5.5935271324250024E-3</v>
      </c>
    </row>
    <row r="40" spans="1:8">
      <c r="A40" s="4">
        <f t="shared" si="2"/>
        <v>1984</v>
      </c>
      <c r="B40" s="7">
        <f t="shared" si="7"/>
        <v>2.3793049300944586</v>
      </c>
      <c r="C40" s="6">
        <f t="shared" si="0"/>
        <v>7.206620305503332E-2</v>
      </c>
      <c r="D40" s="8">
        <f t="shared" si="1"/>
        <v>0.88100983406180955</v>
      </c>
      <c r="E40" s="8">
        <f t="shared" si="3"/>
        <v>0.80894363100677624</v>
      </c>
      <c r="F40" s="6">
        <f t="shared" si="8"/>
        <v>0.7985607556033083</v>
      </c>
      <c r="G40" s="6">
        <f t="shared" si="5"/>
        <v>4.8826963763937137E-4</v>
      </c>
      <c r="H40" s="6">
        <f t="shared" si="6"/>
        <v>5.4386300861646308E-3</v>
      </c>
    </row>
    <row r="41" spans="1:8">
      <c r="A41" s="4">
        <f t="shared" si="2"/>
        <v>1985</v>
      </c>
      <c r="B41" s="7">
        <f t="shared" si="7"/>
        <v>2.3918885098971305</v>
      </c>
      <c r="C41" s="6">
        <f t="shared" si="0"/>
        <v>7.2100423482280629E-2</v>
      </c>
      <c r="D41" s="8">
        <f t="shared" si="1"/>
        <v>0.8814281790231453</v>
      </c>
      <c r="E41" s="8">
        <f t="shared" si="3"/>
        <v>0.80932775554086467</v>
      </c>
      <c r="F41" s="6">
        <f t="shared" si="8"/>
        <v>0.7985607556033083</v>
      </c>
      <c r="G41" s="6">
        <f t="shared" si="5"/>
        <v>4.7484709609535436E-4</v>
      </c>
      <c r="H41" s="6">
        <f t="shared" si="6"/>
        <v>5.2887629674991388E-3</v>
      </c>
    </row>
    <row r="42" spans="1:8">
      <c r="A42" s="4">
        <f t="shared" si="2"/>
        <v>1986</v>
      </c>
      <c r="B42" s="7">
        <f t="shared" si="7"/>
        <v>2.4041917206319829</v>
      </c>
      <c r="C42" s="6">
        <f t="shared" si="0"/>
        <v>7.2133723431245231E-2</v>
      </c>
      <c r="D42" s="8">
        <f t="shared" si="1"/>
        <v>0.88183527113106686</v>
      </c>
      <c r="E42" s="8">
        <f t="shared" si="3"/>
        <v>0.80970154769982161</v>
      </c>
      <c r="F42" s="6">
        <f t="shared" si="8"/>
        <v>0.7985607556033083</v>
      </c>
      <c r="G42" s="6">
        <f t="shared" si="5"/>
        <v>4.6185510925322859E-4</v>
      </c>
      <c r="H42" s="6">
        <f t="shared" si="6"/>
        <v>5.143722495402514E-3</v>
      </c>
    </row>
    <row r="43" spans="1:8">
      <c r="A43" s="4">
        <f t="shared" si="2"/>
        <v>1987</v>
      </c>
      <c r="B43" s="7">
        <f t="shared" si="7"/>
        <v>2.4162206510474284</v>
      </c>
      <c r="C43" s="6">
        <f t="shared" si="0"/>
        <v>7.216613142287831E-2</v>
      </c>
      <c r="D43" s="8">
        <f t="shared" si="1"/>
        <v>0.8822314590544007</v>
      </c>
      <c r="E43" s="8">
        <f t="shared" si="3"/>
        <v>0.81006532763152239</v>
      </c>
      <c r="F43" s="6">
        <f t="shared" si="8"/>
        <v>0.7985607556033083</v>
      </c>
      <c r="G43" s="6">
        <f t="shared" si="5"/>
        <v>4.4927656706872376E-4</v>
      </c>
      <c r="H43" s="6">
        <f t="shared" si="6"/>
        <v>5.0033157972457776E-3</v>
      </c>
    </row>
    <row r="44" spans="1:8">
      <c r="A44" s="4">
        <f t="shared" si="2"/>
        <v>1988</v>
      </c>
      <c r="B44" s="7">
        <f t="shared" si="7"/>
        <v>2.4279812661941209</v>
      </c>
      <c r="C44" s="6">
        <f t="shared" si="0"/>
        <v>7.2197674893905772E-2</v>
      </c>
      <c r="D44" s="8">
        <f t="shared" si="1"/>
        <v>0.88261707820731228</v>
      </c>
      <c r="E44" s="8">
        <f t="shared" si="3"/>
        <v>0.81041940331340645</v>
      </c>
      <c r="F44" s="6">
        <f t="shared" si="8"/>
        <v>0.7985607556033083</v>
      </c>
      <c r="G44" s="6">
        <f t="shared" si="5"/>
        <v>4.3709521912194127E-4</v>
      </c>
      <c r="H44" s="6">
        <f t="shared" si="6"/>
        <v>4.8673597511030842E-3</v>
      </c>
    </row>
    <row r="45" spans="1:8">
      <c r="A45" s="4">
        <f t="shared" si="2"/>
        <v>1989</v>
      </c>
      <c r="B45" s="7">
        <f t="shared" si="7"/>
        <v>2.4394794094331735</v>
      </c>
      <c r="C45" s="6">
        <f t="shared" si="0"/>
        <v>7.2228380248907639E-2</v>
      </c>
      <c r="D45" s="8">
        <f t="shared" si="1"/>
        <v>0.88299245138597626</v>
      </c>
      <c r="E45" s="8">
        <f t="shared" si="3"/>
        <v>0.81076407113706861</v>
      </c>
      <c r="F45" s="6">
        <f t="shared" si="8"/>
        <v>0.7985607556033083</v>
      </c>
      <c r="G45" s="6">
        <f t="shared" si="5"/>
        <v>4.252956213202097E-4</v>
      </c>
      <c r="H45" s="6">
        <f t="shared" si="6"/>
        <v>4.7356803774174505E-3</v>
      </c>
    </row>
    <row r="46" spans="1:8">
      <c r="A46" s="4">
        <f t="shared" si="2"/>
        <v>1990</v>
      </c>
      <c r="B46" s="7">
        <f t="shared" si="7"/>
        <v>2.4507208044462514</v>
      </c>
      <c r="C46" s="6">
        <f t="shared" si="0"/>
        <v>7.225827290929239E-2</v>
      </c>
      <c r="D46" s="8">
        <f t="shared" si="1"/>
        <v>0.88335788936728799</v>
      </c>
      <c r="E46" s="8">
        <f t="shared" si="3"/>
        <v>0.81109961645799555</v>
      </c>
      <c r="F46" s="6">
        <f t="shared" si="8"/>
        <v>0.7985607556033083</v>
      </c>
      <c r="G46" s="6">
        <f t="shared" si="5"/>
        <v>4.1386308652824333E-4</v>
      </c>
      <c r="H46" s="6">
        <f t="shared" si="6"/>
        <v>4.6081122757621884E-3</v>
      </c>
    </row>
    <row r="47" spans="1:8">
      <c r="A47" s="4">
        <f t="shared" si="2"/>
        <v>1991</v>
      </c>
      <c r="B47" s="7">
        <f t="shared" si="7"/>
        <v>2.4617110572443872</v>
      </c>
      <c r="C47" s="6">
        <f t="shared" si="0"/>
        <v>7.2287377359387658E-2</v>
      </c>
      <c r="D47" s="8">
        <f t="shared" si="1"/>
        <v>0.88371369147232348</v>
      </c>
      <c r="E47" s="8">
        <f t="shared" si="3"/>
        <v>0.81142631411293586</v>
      </c>
      <c r="F47" s="6">
        <f t="shared" si="8"/>
        <v>0.7985607556033083</v>
      </c>
      <c r="G47" s="6">
        <f t="shared" si="5"/>
        <v>4.0278363879253654E-4</v>
      </c>
      <c r="H47" s="6">
        <f t="shared" si="6"/>
        <v>4.4844981028424602E-3</v>
      </c>
    </row>
    <row r="48" spans="1:8">
      <c r="A48" s="4">
        <f t="shared" si="2"/>
        <v>1992</v>
      </c>
      <c r="B48" s="7">
        <f t="shared" si="7"/>
        <v>2.4724556581726649</v>
      </c>
      <c r="C48" s="6">
        <f t="shared" si="0"/>
        <v>7.2315717189850234E-2</v>
      </c>
      <c r="D48" s="8">
        <f t="shared" si="1"/>
        <v>0.88406014609702599</v>
      </c>
      <c r="E48" s="8">
        <f t="shared" si="3"/>
        <v>0.8117444289071758</v>
      </c>
      <c r="F48" s="6">
        <f t="shared" si="8"/>
        <v>0.7985607556033083</v>
      </c>
      <c r="G48" s="6">
        <f t="shared" si="5"/>
        <v>3.9204397085357279E-4</v>
      </c>
      <c r="H48" s="6">
        <f t="shared" si="6"/>
        <v>4.3646880882539651E-3</v>
      </c>
    </row>
    <row r="49" spans="1:8">
      <c r="A49" s="4">
        <f t="shared" si="2"/>
        <v>1993</v>
      </c>
      <c r="B49" s="7">
        <f t="shared" si="7"/>
        <v>2.4829599839081986</v>
      </c>
      <c r="C49" s="6">
        <f t="shared" si="0"/>
        <v>7.2343315138581957E-2</v>
      </c>
      <c r="D49" s="8">
        <f t="shared" si="1"/>
        <v>0.88439753121240405</v>
      </c>
      <c r="E49" s="8">
        <f t="shared" si="3"/>
        <v>0.81205421607382211</v>
      </c>
      <c r="F49" s="6">
        <f t="shared" si="8"/>
        <v>0.7985607556033083</v>
      </c>
      <c r="G49" s="6">
        <f t="shared" si="5"/>
        <v>3.8163140468161494E-4</v>
      </c>
      <c r="H49" s="6">
        <f t="shared" si="6"/>
        <v>4.248539584850386E-3</v>
      </c>
    </row>
    <row r="50" spans="1:8">
      <c r="A50" s="4">
        <f t="shared" si="2"/>
        <v>1994</v>
      </c>
      <c r="B50" s="7">
        <f t="shared" si="7"/>
        <v>2.4932292994490757</v>
      </c>
      <c r="C50" s="6">
        <f t="shared" si="0"/>
        <v>7.2370193129322899E-2</v>
      </c>
      <c r="D50" s="8">
        <f t="shared" si="1"/>
        <v>0.88472611483633257</v>
      </c>
      <c r="E50" s="8">
        <f t="shared" si="3"/>
        <v>0.81235592170700965</v>
      </c>
      <c r="F50" s="6">
        <f t="shared" si="8"/>
        <v>0.7985607556033083</v>
      </c>
      <c r="G50" s="6">
        <f t="shared" si="5"/>
        <v>3.7153385477917134E-4</v>
      </c>
      <c r="H50" s="6">
        <f t="shared" si="6"/>
        <v>4.1359166508647682E-3</v>
      </c>
    </row>
    <row r="51" spans="1:8">
      <c r="A51" s="4">
        <f t="shared" si="2"/>
        <v>1995</v>
      </c>
      <c r="B51" s="7">
        <f t="shared" si="7"/>
        <v>2.5032687600921717</v>
      </c>
      <c r="C51" s="6">
        <f t="shared" si="0"/>
        <v>7.2396372308079673E-2</v>
      </c>
      <c r="D51" s="8">
        <f t="shared" si="1"/>
        <v>0.88504615547888976</v>
      </c>
      <c r="E51" s="8">
        <f t="shared" si="3"/>
        <v>0.81264978317081005</v>
      </c>
      <c r="F51" s="6">
        <f t="shared" si="8"/>
        <v>0.7985607556033083</v>
      </c>
      <c r="G51" s="6">
        <f t="shared" si="5"/>
        <v>3.6173979403386625E-4</v>
      </c>
      <c r="H51" s="6">
        <f t="shared" si="6"/>
        <v>4.0266896612013436E-3</v>
      </c>
    </row>
    <row r="52" spans="1:8">
      <c r="A52" s="4">
        <f t="shared" si="2"/>
        <v>1996</v>
      </c>
      <c r="B52" s="7">
        <f t="shared" si="7"/>
        <v>2.5130834133979474</v>
      </c>
      <c r="C52" s="6">
        <f t="shared" si="0"/>
        <v>7.2421873077534171E-2</v>
      </c>
      <c r="D52" s="8">
        <f t="shared" si="1"/>
        <v>0.8853579025630034</v>
      </c>
      <c r="E52" s="8">
        <f t="shared" si="3"/>
        <v>0.81293602948546928</v>
      </c>
      <c r="F52" s="6">
        <f t="shared" si="8"/>
        <v>0.7985607556033083</v>
      </c>
      <c r="G52" s="6">
        <f t="shared" si="5"/>
        <v>3.5223822190943999E-4</v>
      </c>
      <c r="H52" s="6">
        <f t="shared" si="6"/>
        <v>3.9207349455414597E-3</v>
      </c>
    </row>
    <row r="53" spans="1:8">
      <c r="A53" s="4">
        <f t="shared" si="2"/>
        <v>1997</v>
      </c>
      <c r="B53" s="7">
        <f t="shared" si="7"/>
        <v>2.5226782011405327</v>
      </c>
      <c r="C53" s="6">
        <f t="shared" si="0"/>
        <v>7.2446715129566852E-2</v>
      </c>
      <c r="D53" s="8">
        <f t="shared" si="1"/>
        <v>0.88566159682204948</v>
      </c>
      <c r="E53" s="8">
        <f t="shared" si="3"/>
        <v>0.81321488169248268</v>
      </c>
      <c r="F53" s="6">
        <f t="shared" si="8"/>
        <v>0.7985607556033083</v>
      </c>
      <c r="G53" s="6">
        <f t="shared" si="5"/>
        <v>3.4301863479946348E-4</v>
      </c>
      <c r="H53" s="6">
        <f t="shared" si="6"/>
        <v>3.8179344511339863E-3</v>
      </c>
    </row>
    <row r="54" spans="1:8">
      <c r="A54" s="4">
        <f t="shared" si="2"/>
        <v>1998</v>
      </c>
      <c r="B54" s="7">
        <f t="shared" si="7"/>
        <v>2.5320579612415863</v>
      </c>
      <c r="C54" s="6">
        <f t="shared" si="0"/>
        <v>7.2470917476018359E-2</v>
      </c>
      <c r="D54" s="8">
        <f t="shared" si="1"/>
        <v>0.88595747067591235</v>
      </c>
      <c r="E54" s="8">
        <f t="shared" si="3"/>
        <v>0.81348655319989405</v>
      </c>
      <c r="F54" s="6">
        <f t="shared" si="8"/>
        <v>0.7985607556033083</v>
      </c>
      <c r="G54" s="6">
        <f t="shared" si="5"/>
        <v>3.3407099836391119E-4</v>
      </c>
      <c r="H54" s="6">
        <f t="shared" si="6"/>
        <v>3.718175428325754E-3</v>
      </c>
    </row>
    <row r="55" spans="1:8">
      <c r="A55" s="4">
        <f t="shared" si="2"/>
        <v>1999</v>
      </c>
      <c r="B55" s="7">
        <f t="shared" si="7"/>
        <v>2.5412274296865651</v>
      </c>
      <c r="C55" s="6">
        <f t="shared" si="0"/>
        <v>7.2494498477803843E-2</v>
      </c>
      <c r="D55" s="8">
        <f t="shared" si="1"/>
        <v>0.8862457485869073</v>
      </c>
      <c r="E55" s="8">
        <f t="shared" si="3"/>
        <v>0.81375125010910343</v>
      </c>
      <c r="F55" s="6">
        <f t="shared" si="8"/>
        <v>0.7985607556033083</v>
      </c>
      <c r="G55" s="6">
        <f t="shared" si="5"/>
        <v>3.2538572170404123E-4</v>
      </c>
      <c r="H55" s="6">
        <f t="shared" si="6"/>
        <v>3.6213501370572221E-3</v>
      </c>
    </row>
    <row r="56" spans="1:8">
      <c r="A56" s="4">
        <f t="shared" si="2"/>
        <v>2000</v>
      </c>
      <c r="B56" s="7">
        <f t="shared" si="7"/>
        <v>2.5501912424222049</v>
      </c>
      <c r="C56" s="6">
        <f t="shared" si="0"/>
        <v>7.2517475872485457E-2</v>
      </c>
      <c r="D56" s="8">
        <f t="shared" si="1"/>
        <v>0.88652664739685505</v>
      </c>
      <c r="E56" s="8">
        <f t="shared" si="3"/>
        <v>0.81400917152436958</v>
      </c>
      <c r="F56" s="6">
        <f t="shared" si="8"/>
        <v>0.7985607556033083</v>
      </c>
      <c r="G56" s="6">
        <f t="shared" si="5"/>
        <v>3.1695363322836734E-4</v>
      </c>
      <c r="H56" s="6">
        <f t="shared" si="6"/>
        <v>3.5273555727144412E-3</v>
      </c>
    </row>
    <row r="57" spans="1:8">
      <c r="A57" s="4">
        <f t="shared" si="2"/>
        <v>2001</v>
      </c>
      <c r="B57" s="7">
        <f t="shared" si="7"/>
        <v>2.558953937234135</v>
      </c>
      <c r="C57" s="6">
        <f t="shared" si="0"/>
        <v>7.2539866800401101E-2</v>
      </c>
      <c r="D57" s="8">
        <f t="shared" si="1"/>
        <v>0.88680037664650613</v>
      </c>
      <c r="E57" s="8">
        <f t="shared" si="3"/>
        <v>0.81426050984610499</v>
      </c>
      <c r="F57" s="6">
        <f t="shared" si="8"/>
        <v>0.7985607556033083</v>
      </c>
      <c r="G57" s="6">
        <f t="shared" si="5"/>
        <v>3.087659580847113E-4</v>
      </c>
      <c r="H57" s="6">
        <f t="shared" si="6"/>
        <v>3.4360932098596031E-3</v>
      </c>
    </row>
    <row r="58" spans="1:8">
      <c r="A58" s="4">
        <f t="shared" si="2"/>
        <v>2002</v>
      </c>
      <c r="B58" s="7">
        <f t="shared" si="7"/>
        <v>2.5675199556036827</v>
      </c>
      <c r="C58" s="6">
        <f t="shared" si="0"/>
        <v>7.2561687829440197E-2</v>
      </c>
      <c r="D58" s="8">
        <f t="shared" si="1"/>
        <v>0.88706713887842381</v>
      </c>
      <c r="E58" s="8">
        <f t="shared" si="3"/>
        <v>0.81450545104898364</v>
      </c>
      <c r="F58" s="6">
        <f t="shared" si="8"/>
        <v>0.7985607556033083</v>
      </c>
      <c r="G58" s="6">
        <f t="shared" si="5"/>
        <v>3.0081429704220675E-4</v>
      </c>
      <c r="H58" s="6">
        <f t="shared" si="6"/>
        <v>3.3474687624921451E-3</v>
      </c>
    </row>
    <row r="59" spans="1:8">
      <c r="A59" s="4">
        <f t="shared" si="2"/>
        <v>2003</v>
      </c>
      <c r="B59" s="7">
        <f t="shared" si="7"/>
        <v>2.5758936445430312</v>
      </c>
      <c r="C59" s="6">
        <f t="shared" si="0"/>
        <v>7.2582954978550079E-2</v>
      </c>
      <c r="D59" s="8">
        <f t="shared" si="1"/>
        <v>0.88732712992435081</v>
      </c>
      <c r="E59" s="8">
        <f t="shared" si="3"/>
        <v>0.81474417494580076</v>
      </c>
      <c r="F59" s="6">
        <f t="shared" si="8"/>
        <v>0.7985607556033083</v>
      </c>
      <c r="G59" s="6">
        <f t="shared" si="5"/>
        <v>2.9309060671067755E-4</v>
      </c>
      <c r="H59" s="6">
        <f t="shared" si="6"/>
        <v>3.2613919596116148E-3</v>
      </c>
    </row>
    <row r="60" spans="1:8">
      <c r="A60" s="4">
        <f t="shared" si="2"/>
        <v>2004</v>
      </c>
      <c r="B60" s="7">
        <f t="shared" si="7"/>
        <v>2.5840792584080057</v>
      </c>
      <c r="C60" s="6">
        <f t="shared" si="0"/>
        <v>7.260368374005137E-2</v>
      </c>
      <c r="D60" s="8">
        <f t="shared" si="1"/>
        <v>0.88758053917801449</v>
      </c>
      <c r="E60" s="8">
        <f t="shared" si="3"/>
        <v>0.81497685543796317</v>
      </c>
      <c r="F60" s="6">
        <f t="shared" si="8"/>
        <v>0.7985607556033083</v>
      </c>
      <c r="G60" s="6">
        <f t="shared" si="5"/>
        <v>2.8558718100435421E-4</v>
      </c>
      <c r="H60" s="6">
        <f t="shared" si="6"/>
        <v>3.1777763349489785E-3</v>
      </c>
    </row>
    <row r="61" spans="1:8">
      <c r="A61" s="4">
        <f t="shared" si="2"/>
        <v>2005</v>
      </c>
      <c r="B61" s="7">
        <f t="shared" si="7"/>
        <v>2.5920809606878565</v>
      </c>
      <c r="C61" s="6">
        <f t="shared" si="0"/>
        <v>7.2623889100834671E-2</v>
      </c>
      <c r="D61" s="8">
        <f t="shared" si="1"/>
        <v>0.88782754985425716</v>
      </c>
      <c r="E61" s="8">
        <f t="shared" si="3"/>
        <v>0.81520366075342254</v>
      </c>
      <c r="F61" s="6">
        <f t="shared" si="8"/>
        <v>0.7985607556033083</v>
      </c>
      <c r="G61" s="6">
        <f t="shared" si="5"/>
        <v>2.7829663375844582E-4</v>
      </c>
      <c r="H61" s="6">
        <f t="shared" si="6"/>
        <v>3.0965390298363094E-3</v>
      </c>
    </row>
    <row r="62" spans="1:8">
      <c r="A62" s="4">
        <f t="shared" si="2"/>
        <v>2006</v>
      </c>
      <c r="B62" s="7">
        <f t="shared" si="7"/>
        <v>2.5999028257714949</v>
      </c>
      <c r="C62" s="6">
        <f t="shared" si="0"/>
        <v>7.264358556250583E-2</v>
      </c>
      <c r="D62" s="8">
        <f t="shared" si="1"/>
        <v>0.88806833923531081</v>
      </c>
      <c r="E62" s="8">
        <f t="shared" si="3"/>
        <v>0.81542475367280498</v>
      </c>
      <c r="F62" s="6">
        <f t="shared" si="8"/>
        <v>0.7985607556033083</v>
      </c>
      <c r="G62" s="6">
        <f t="shared" si="5"/>
        <v>2.7121188241241434E-4</v>
      </c>
      <c r="H62" s="6">
        <f t="shared" si="6"/>
        <v>3.0176006082629492E-3</v>
      </c>
    </row>
    <row r="63" spans="1:8">
      <c r="A63" s="4">
        <f t="shared" si="2"/>
        <v>2007</v>
      </c>
      <c r="B63" s="7">
        <f t="shared" si="7"/>
        <v>2.6075488406897134</v>
      </c>
      <c r="C63" s="6">
        <f t="shared" si="0"/>
        <v>7.2662787160542239E-2</v>
      </c>
      <c r="D63" s="8">
        <f t="shared" si="1"/>
        <v>0.88830307890498461</v>
      </c>
      <c r="E63" s="8">
        <f t="shared" si="3"/>
        <v>0.81564029174444241</v>
      </c>
      <c r="F63" s="6">
        <f t="shared" si="8"/>
        <v>0.7985607556033083</v>
      </c>
      <c r="G63" s="6">
        <f t="shared" si="5"/>
        <v>2.6432613268911886E-4</v>
      </c>
      <c r="H63" s="6">
        <f t="shared" si="6"/>
        <v>2.9408848832455092E-3</v>
      </c>
    </row>
    <row r="64" spans="1:8">
      <c r="A64" s="4">
        <f t="shared" si="2"/>
        <v>2008</v>
      </c>
      <c r="B64" s="7">
        <f t="shared" si="7"/>
        <v>2.6150229068330129</v>
      </c>
      <c r="C64" s="6">
        <f t="shared" si="0"/>
        <v>7.2681507482518753E-2</v>
      </c>
      <c r="D64" s="8">
        <f t="shared" si="1"/>
        <v>0.88853193497147542</v>
      </c>
      <c r="E64" s="8">
        <f t="shared" si="3"/>
        <v>0.81585042748895664</v>
      </c>
      <c r="F64" s="6">
        <f t="shared" si="8"/>
        <v>0.7985607556033083</v>
      </c>
      <c r="G64" s="6">
        <f t="shared" si="5"/>
        <v>2.576328641941128E-4</v>
      </c>
      <c r="H64" s="6">
        <f t="shared" si="6"/>
        <v>2.8663187537161239E-3</v>
      </c>
    </row>
    <row r="65" spans="1:8">
      <c r="A65" s="4">
        <f t="shared" si="2"/>
        <v>2009</v>
      </c>
      <c r="B65" s="7">
        <f t="shared" si="7"/>
        <v>2.6223288416447064</v>
      </c>
      <c r="C65" s="6">
        <f t="shared" si="0"/>
        <v>7.2699759685457194E-2</v>
      </c>
      <c r="D65" s="8">
        <f t="shared" si="1"/>
        <v>0.88875506827946693</v>
      </c>
      <c r="E65" s="8">
        <f t="shared" si="3"/>
        <v>0.81605530859400977</v>
      </c>
      <c r="F65" s="6">
        <f t="shared" si="8"/>
        <v>0.7985607556033083</v>
      </c>
      <c r="G65" s="6">
        <f t="shared" si="5"/>
        <v>2.5112581687758428E-4</v>
      </c>
      <c r="H65" s="6">
        <f t="shared" si="6"/>
        <v>2.7938320511851078E-3</v>
      </c>
    </row>
    <row r="66" spans="1:8">
      <c r="A66" s="4">
        <f t="shared" si="2"/>
        <v>2010</v>
      </c>
      <c r="B66" s="7">
        <f t="shared" si="7"/>
        <v>2.629470380289046</v>
      </c>
      <c r="C66" s="6">
        <f t="shared" si="0"/>
        <v>7.271755651235022E-2</v>
      </c>
      <c r="D66" s="8">
        <f t="shared" si="1"/>
        <v>0.88897263461213305</v>
      </c>
      <c r="E66" s="8">
        <f t="shared" si="3"/>
        <v>0.81625507809978282</v>
      </c>
      <c r="F66" s="6">
        <f t="shared" si="8"/>
        <v>0.7985607556033083</v>
      </c>
      <c r="G66" s="6">
        <f t="shared" si="5"/>
        <v>2.4479897829143837E-4</v>
      </c>
      <c r="H66" s="6">
        <f t="shared" si="6"/>
        <v>2.7233573955052215E-3</v>
      </c>
    </row>
    <row r="67" spans="1:8">
      <c r="A67" s="4">
        <f t="shared" si="2"/>
        <v>2011</v>
      </c>
      <c r="B67" s="7">
        <f t="shared" si="7"/>
        <v>2.6364511772941701</v>
      </c>
      <c r="C67" s="6">
        <f t="shared" si="0"/>
        <v>7.2734910307906714E-2</v>
      </c>
      <c r="D67" s="8">
        <f t="shared" si="1"/>
        <v>0.88918478488362562</v>
      </c>
      <c r="E67" s="8">
        <f t="shared" si="3"/>
        <v>0.81644987457571894</v>
      </c>
      <c r="F67" s="6">
        <f t="shared" si="8"/>
        <v>0.7985607556033083</v>
      </c>
      <c r="G67" s="6">
        <f t="shared" si="5"/>
        <v>2.3864657159577973E-4</v>
      </c>
      <c r="H67" s="6">
        <f t="shared" si="6"/>
        <v>2.6548300591073826E-3</v>
      </c>
    </row>
    <row r="68" spans="1:8">
      <c r="A68" s="4">
        <f t="shared" si="2"/>
        <v>2012</v>
      </c>
      <c r="B68" s="7">
        <f t="shared" si="7"/>
        <v>2.6432748081697226</v>
      </c>
      <c r="C68" s="6">
        <f t="shared" si="0"/>
        <v>7.2751833033562668E-2</v>
      </c>
      <c r="D68" s="8">
        <f t="shared" si="1"/>
        <v>0.88939166532258318</v>
      </c>
      <c r="E68" s="8">
        <f t="shared" si="3"/>
        <v>0.81663983228902048</v>
      </c>
      <c r="F68" s="6">
        <f t="shared" si="8"/>
        <v>0.7985607556033083</v>
      </c>
      <c r="G68" s="6">
        <f t="shared" si="5"/>
        <v>2.3266304425639817E-4</v>
      </c>
      <c r="H68" s="6">
        <f t="shared" si="6"/>
        <v>2.5881878391373903E-3</v>
      </c>
    </row>
    <row r="69" spans="1:8">
      <c r="A69" s="4">
        <f t="shared" si="2"/>
        <v>2013</v>
      </c>
      <c r="B69" s="7">
        <f t="shared" si="7"/>
        <v>2.6499447709990425</v>
      </c>
      <c r="C69" s="6">
        <f t="shared" si="0"/>
        <v>7.2768336281798823E-2</v>
      </c>
      <c r="D69" s="8">
        <f t="shared" si="1"/>
        <v>0.88959341764716338</v>
      </c>
      <c r="E69" s="8">
        <f t="shared" si="3"/>
        <v>0.81682508136536458</v>
      </c>
      <c r="F69" s="6">
        <f t="shared" si="8"/>
        <v>0.7985607556033083</v>
      </c>
      <c r="G69" s="6">
        <f t="shared" si="5"/>
        <v>2.2684305739129051E-4</v>
      </c>
      <c r="H69" s="6">
        <f t="shared" si="6"/>
        <v>2.5233709369547608E-3</v>
      </c>
    </row>
    <row r="70" spans="1:8">
      <c r="A70" s="4">
        <f t="shared" si="2"/>
        <v>2014</v>
      </c>
      <c r="B70" s="7">
        <f t="shared" si="7"/>
        <v>2.6564644880058652</v>
      </c>
      <c r="C70" s="6">
        <f t="shared" si="0"/>
        <v>7.2784431289803428E-2</v>
      </c>
      <c r="D70" s="8">
        <f t="shared" si="1"/>
        <v>0.8897901792320706</v>
      </c>
      <c r="E70" s="8">
        <f t="shared" si="3"/>
        <v>0.81700574794226721</v>
      </c>
      <c r="F70" s="6">
        <f t="shared" si="8"/>
        <v>0.7985607556033083</v>
      </c>
      <c r="G70" s="6">
        <f t="shared" si="5"/>
        <v>2.2118147572136593E-4</v>
      </c>
      <c r="H70" s="6">
        <f t="shared" si="6"/>
        <v>2.4603218445058417E-3</v>
      </c>
    </row>
    <row r="71" spans="1:8">
      <c r="A71" s="4">
        <f t="shared" si="2"/>
        <v>2015</v>
      </c>
      <c r="B71" s="7">
        <f t="shared" si="7"/>
        <v>2.662837307095522</v>
      </c>
      <c r="C71" s="6">
        <f t="shared" si="0"/>
        <v>7.2800128952516266E-2</v>
      </c>
      <c r="D71" s="8">
        <f t="shared" si="1"/>
        <v>0.88998208326801986</v>
      </c>
      <c r="E71" s="8">
        <f t="shared" si="3"/>
        <v>0.81718195431550356</v>
      </c>
      <c r="F71" s="6">
        <f t="shared" si="8"/>
        <v>0.7985607556033083</v>
      </c>
      <c r="G71" s="6">
        <f t="shared" si="5"/>
        <v>2.1567335808869714E-4</v>
      </c>
      <c r="H71" s="6">
        <f t="shared" si="6"/>
        <v>2.3989852371189002E-3</v>
      </c>
    </row>
    <row r="72" spans="1:8">
      <c r="A72" s="4">
        <f t="shared" si="2"/>
        <v>2016</v>
      </c>
      <c r="B72" s="7">
        <f t="shared" si="7"/>
        <v>2.66906650337065</v>
      </c>
      <c r="C72" s="6">
        <f t="shared" si="0"/>
        <v>7.2815439835087495E-2</v>
      </c>
      <c r="D72" s="8">
        <f t="shared" si="1"/>
        <v>0.89016925891404519</v>
      </c>
      <c r="E72" s="8">
        <f t="shared" si="3"/>
        <v>0.81735381907895766</v>
      </c>
      <c r="F72" s="6">
        <f t="shared" si="8"/>
        <v>0.7985607556033083</v>
      </c>
      <c r="G72" s="6">
        <f t="shared" si="5"/>
        <v>2.1031394849879703E-4</v>
      </c>
      <c r="H72" s="6">
        <f t="shared" si="6"/>
        <v>2.3393078722944161E-3</v>
      </c>
    </row>
    <row r="73" spans="1:8">
      <c r="A73" s="4">
        <f t="shared" si="2"/>
        <v>2017</v>
      </c>
      <c r="B73" s="7">
        <f t="shared" si="7"/>
        <v>2.6751552806214711</v>
      </c>
      <c r="C73" s="6">
        <f t="shared" si="0"/>
        <v>7.2830374184782734E-2</v>
      </c>
      <c r="D73" s="8">
        <f t="shared" si="1"/>
        <v>0.8903518314430402</v>
      </c>
      <c r="E73" s="8">
        <f t="shared" si="3"/>
        <v>0.81752145725825742</v>
      </c>
      <c r="F73" s="6">
        <f t="shared" si="8"/>
        <v>0.7985607556033083</v>
      </c>
      <c r="G73" s="6">
        <f t="shared" si="5"/>
        <v>2.0509866765983098E-4</v>
      </c>
      <c r="H73" s="6">
        <f t="shared" si="6"/>
        <v>2.2812384941071073E-3</v>
      </c>
    </row>
    <row r="74" spans="1:8">
      <c r="A74" s="4">
        <f t="shared" si="2"/>
        <v>2018</v>
      </c>
      <c r="B74" s="7">
        <f t="shared" si="7"/>
        <v>2.681106772790717</v>
      </c>
      <c r="C74" s="6">
        <f t="shared" si="0"/>
        <v>7.2844941942364405E-2</v>
      </c>
      <c r="D74" s="8">
        <f t="shared" si="1"/>
        <v>0.89052992238089457</v>
      </c>
      <c r="E74" s="8">
        <f t="shared" si="3"/>
        <v>0.81768498043853022</v>
      </c>
      <c r="F74" s="6">
        <f t="shared" si="8"/>
        <v>0.7985607556033083</v>
      </c>
      <c r="G74" s="6">
        <f t="shared" si="5"/>
        <v>2.000231049850143E-4</v>
      </c>
      <c r="H74" s="6">
        <f t="shared" si="6"/>
        <v>2.2247277428557588E-3</v>
      </c>
    </row>
    <row r="75" spans="1:8">
      <c r="A75" s="4">
        <f t="shared" si="2"/>
        <v>2019</v>
      </c>
      <c r="B75" s="7">
        <f t="shared" si="7"/>
        <v>2.6869240454133134</v>
      </c>
      <c r="C75" s="6">
        <f t="shared" si="0"/>
        <v>7.2859152752976372E-2</v>
      </c>
      <c r="D75" s="8">
        <f t="shared" si="1"/>
        <v>0.8907036496395595</v>
      </c>
      <c r="E75" s="8">
        <f t="shared" si="3"/>
        <v>0.81784449688658312</v>
      </c>
      <c r="F75" s="6">
        <f t="shared" si="8"/>
        <v>0.7985607556033083</v>
      </c>
      <c r="G75" s="6">
        <f t="shared" si="5"/>
        <v>1.9508301102399983E-4</v>
      </c>
      <c r="H75" s="6">
        <f t="shared" si="6"/>
        <v>2.1697280696291177E-3</v>
      </c>
    </row>
    <row r="76" spans="1:8">
      <c r="A76" s="4">
        <f t="shared" si="2"/>
        <v>2020</v>
      </c>
      <c r="B76" s="7">
        <f t="shared" si="7"/>
        <v>2.6926100970309568</v>
      </c>
      <c r="C76" s="6">
        <f t="shared" si="0"/>
        <v>7.2873015976558625E-2</v>
      </c>
      <c r="D76" s="8">
        <f t="shared" si="1"/>
        <v>0.89087312764436621</v>
      </c>
      <c r="E76" s="8">
        <f t="shared" si="3"/>
        <v>0.81800011166780762</v>
      </c>
      <c r="F76" s="6">
        <f t="shared" si="8"/>
        <v>0.7985607556033083</v>
      </c>
      <c r="G76" s="6">
        <f t="shared" si="5"/>
        <v>1.9027429030438192E-4</v>
      </c>
      <c r="H76" s="6">
        <f t="shared" si="6"/>
        <v>2.1161936554736638E-3</v>
      </c>
    </row>
    <row r="77" spans="1:8">
      <c r="A77" s="4">
        <f t="shared" si="2"/>
        <v>2021</v>
      </c>
      <c r="B77" s="7">
        <f t="shared" si="7"/>
        <v>2.6981678605817416</v>
      </c>
      <c r="C77" s="6">
        <f t="shared" si="0"/>
        <v>7.2886540697815874E-2</v>
      </c>
      <c r="D77" s="8">
        <f t="shared" si="1"/>
        <v>0.89103846745589299</v>
      </c>
      <c r="E77" s="8">
        <f t="shared" si="3"/>
        <v>0.81815192675807713</v>
      </c>
      <c r="F77" s="6">
        <f t="shared" si="8"/>
        <v>0.7985607556033083</v>
      </c>
      <c r="G77" s="6">
        <f t="shared" si="5"/>
        <v>1.8559299455356282E-4</v>
      </c>
      <c r="H77" s="6">
        <f t="shared" si="6"/>
        <v>2.0640803348814796E-3</v>
      </c>
    </row>
    <row r="78" spans="1:8">
      <c r="A78" s="4">
        <f t="shared" si="2"/>
        <v>2022</v>
      </c>
      <c r="B78" s="7">
        <f t="shared" si="7"/>
        <v>2.7036002047650141</v>
      </c>
      <c r="C78" s="6">
        <f t="shared" si="0"/>
        <v>7.2899735735763138E-2</v>
      </c>
      <c r="D78" s="8">
        <f t="shared" si="1"/>
        <v>0.8911997768866603</v>
      </c>
      <c r="E78" s="8">
        <f t="shared" si="3"/>
        <v>0.81830004115089716</v>
      </c>
      <c r="F78" s="6">
        <f t="shared" si="8"/>
        <v>0.7985607556033083</v>
      </c>
      <c r="G78" s="6">
        <f t="shared" si="5"/>
        <v>1.8103531627300384E-4</v>
      </c>
      <c r="H78" s="6">
        <f t="shared" si="6"/>
        <v>2.0133455233215525E-3</v>
      </c>
    </row>
    <row r="79" spans="1:8">
      <c r="A79" s="4">
        <f t="shared" si="2"/>
        <v>2023</v>
      </c>
      <c r="B79" s="7">
        <f t="shared" si="7"/>
        <v>2.7089099353816515</v>
      </c>
      <c r="C79" s="6">
        <f t="shared" si="0"/>
        <v>7.2912609652870206E-2</v>
      </c>
      <c r="D79" s="8">
        <f t="shared" si="1"/>
        <v>0.89135716061292036</v>
      </c>
      <c r="E79" s="8">
        <f t="shared" si="3"/>
        <v>0.8184445509600502</v>
      </c>
      <c r="F79" s="6">
        <f t="shared" si="8"/>
        <v>0.7985607556033083</v>
      </c>
      <c r="G79" s="6">
        <f t="shared" si="5"/>
        <v>1.7659758265420322E-4</v>
      </c>
      <c r="H79" s="6">
        <f t="shared" si="6"/>
        <v>1.9639481485758115E-3</v>
      </c>
    </row>
    <row r="80" spans="1:8">
      <c r="A80" s="4">
        <f t="shared" si="2"/>
        <v>2024</v>
      </c>
      <c r="B80" s="7">
        <f t="shared" si="7"/>
        <v>2.7140997966499802</v>
      </c>
      <c r="C80" s="6">
        <f t="shared" si="0"/>
        <v>7.2925170763824709E-2</v>
      </c>
      <c r="D80" s="8">
        <f t="shared" si="1"/>
        <v>0.89151072028178779</v>
      </c>
      <c r="E80" s="8">
        <f t="shared" si="3"/>
        <v>0.81858554951796303</v>
      </c>
      <c r="F80" s="6">
        <f t="shared" si="8"/>
        <v>0.7985607556033083</v>
      </c>
      <c r="G80" s="6">
        <f t="shared" si="5"/>
        <v>1.7227624980531431E-4</v>
      </c>
      <c r="H80" s="6">
        <f t="shared" si="6"/>
        <v>1.9158485856405338E-3</v>
      </c>
    </row>
    <row r="81" spans="1:8">
      <c r="A81" s="4">
        <f t="shared" si="2"/>
        <v>2025</v>
      </c>
      <c r="B81" s="7">
        <f t="shared" si="7"/>
        <v>2.7191724724975552</v>
      </c>
      <c r="C81" s="6">
        <f t="shared" ref="C81:C90" si="9">$F$11*D81</f>
        <v>7.293742714393335E-2</v>
      </c>
      <c r="D81" s="8">
        <f t="shared" ref="D81:D90" si="10">$C$8*B81^(1-$C$7)*F81^($C$7)</f>
        <v>0.891660554613943</v>
      </c>
      <c r="E81" s="8">
        <f t="shared" ref="E81:E90" si="11">D81-C81</f>
        <v>0.81872312747000964</v>
      </c>
      <c r="F81" s="6">
        <f t="shared" ref="F81:F90" si="12">F72</f>
        <v>0.7985607556033083</v>
      </c>
      <c r="G81" s="6">
        <f t="shared" si="5"/>
        <v>1.6806789727419336E-4</v>
      </c>
      <c r="H81" s="6">
        <f t="shared" si="6"/>
        <v>1.8690085949810697E-3</v>
      </c>
    </row>
    <row r="82" spans="1:8">
      <c r="A82" s="4">
        <f t="shared" ref="A82:A90" si="13">A81+1</f>
        <v>2026</v>
      </c>
      <c r="B82" s="7">
        <f t="shared" si="7"/>
        <v>2.7241305878290496</v>
      </c>
      <c r="C82" s="6">
        <f t="shared" si="9"/>
        <v>7.2949386637179064E-2</v>
      </c>
      <c r="D82" s="8">
        <f t="shared" si="10"/>
        <v>0.89180675950213195</v>
      </c>
      <c r="E82" s="8">
        <f t="shared" si="11"/>
        <v>0.81885737286495286</v>
      </c>
      <c r="F82" s="6">
        <f t="shared" si="12"/>
        <v>0.7985607556033083</v>
      </c>
      <c r="G82" s="6">
        <f t="shared" ref="G82:G90" si="14">D82/D81-1</f>
        <v>1.6396922285322191E-4</v>
      </c>
      <c r="H82" s="6">
        <f t="shared" ref="H82:H90" si="15">B82/B81-1</f>
        <v>1.8233912639387118E-3</v>
      </c>
    </row>
    <row r="83" spans="1:8">
      <c r="A83" s="4">
        <f t="shared" si="13"/>
        <v>2027</v>
      </c>
      <c r="B83" s="7">
        <f t="shared" ref="B83:B90" si="16">(1-$C$4)*B82+C82</f>
        <v>2.7289767097705022</v>
      </c>
      <c r="C83" s="6">
        <f t="shared" si="9"/>
        <v>7.2961056863950893E-2</v>
      </c>
      <c r="D83" s="8">
        <f t="shared" si="10"/>
        <v>0.89194942810566402</v>
      </c>
      <c r="E83" s="8">
        <f t="shared" si="11"/>
        <v>0.81898837124171309</v>
      </c>
      <c r="F83" s="6">
        <f t="shared" si="12"/>
        <v>0.7985607556033083</v>
      </c>
      <c r="G83" s="6">
        <f t="shared" si="14"/>
        <v>1.5997703763948046E-4</v>
      </c>
      <c r="H83" s="6">
        <f t="shared" si="15"/>
        <v>1.7789609511027482E-3</v>
      </c>
    </row>
    <row r="84" spans="1:8">
      <c r="A84" s="4">
        <f t="shared" si="13"/>
        <v>2028</v>
      </c>
      <c r="B84" s="7">
        <f t="shared" si="16"/>
        <v>2.7337133488901904</v>
      </c>
      <c r="C84" s="6">
        <f t="shared" si="9"/>
        <v>7.2972445228462912E-2</v>
      </c>
      <c r="D84" s="8">
        <f t="shared" si="10"/>
        <v>0.89208865094110756</v>
      </c>
      <c r="E84" s="8">
        <f t="shared" si="11"/>
        <v>0.81911620571264465</v>
      </c>
      <c r="F84" s="6">
        <f t="shared" si="12"/>
        <v>0.7985607556033083</v>
      </c>
      <c r="G84" s="6">
        <f t="shared" si="14"/>
        <v>1.5608826134827503E-4</v>
      </c>
      <c r="H84" s="6">
        <f t="shared" si="15"/>
        <v>1.7356832334733951E-3</v>
      </c>
    </row>
    <row r="85" spans="1:8">
      <c r="A85" s="4">
        <f t="shared" si="13"/>
        <v>2029</v>
      </c>
      <c r="B85" s="7">
        <f t="shared" si="16"/>
        <v>2.7383429603963987</v>
      </c>
      <c r="C85" s="6">
        <f t="shared" si="9"/>
        <v>7.2983558925876893E-2</v>
      </c>
      <c r="D85" s="8">
        <f t="shared" si="10"/>
        <v>0.89222451596936536</v>
      </c>
      <c r="E85" s="8">
        <f t="shared" si="11"/>
        <v>0.81924095704348843</v>
      </c>
      <c r="F85" s="6">
        <f t="shared" si="12"/>
        <v>0.7985607556033083</v>
      </c>
      <c r="G85" s="6">
        <f t="shared" si="14"/>
        <v>1.5229991785514763E-4</v>
      </c>
      <c r="H85" s="6">
        <f t="shared" si="15"/>
        <v>1.6935248562501837E-3</v>
      </c>
    </row>
    <row r="86" spans="1:8">
      <c r="A86" s="4">
        <f t="shared" si="13"/>
        <v>2030</v>
      </c>
      <c r="B86" s="7">
        <f t="shared" si="16"/>
        <v>2.7428679453123657</v>
      </c>
      <c r="C86" s="6">
        <f t="shared" si="9"/>
        <v>7.2994404949143027E-2</v>
      </c>
      <c r="D86" s="8">
        <f t="shared" si="10"/>
        <v>0.89235710867930207</v>
      </c>
      <c r="E86" s="8">
        <f t="shared" si="11"/>
        <v>0.81936270373015907</v>
      </c>
      <c r="F86" s="6">
        <f t="shared" si="12"/>
        <v>0.7985607556033083</v>
      </c>
      <c r="G86" s="6">
        <f t="shared" si="14"/>
        <v>1.4860913095704475E-4</v>
      </c>
      <c r="H86" s="6">
        <f t="shared" si="15"/>
        <v>1.6524536850972549E-3</v>
      </c>
    </row>
    <row r="87" spans="1:8">
      <c r="A87" s="4">
        <f t="shared" si="13"/>
        <v>2031</v>
      </c>
      <c r="B87" s="7">
        <f t="shared" si="16"/>
        <v>2.7472906516286995</v>
      </c>
      <c r="C87" s="6">
        <f t="shared" si="9"/>
        <v>7.3004990095572056E-2</v>
      </c>
      <c r="D87" s="8">
        <f t="shared" si="10"/>
        <v>0.89248651216808916</v>
      </c>
      <c r="E87" s="8">
        <f t="shared" si="11"/>
        <v>0.81948152207251712</v>
      </c>
      <c r="F87" s="6">
        <f t="shared" si="12"/>
        <v>0.7985607556033083</v>
      </c>
      <c r="G87" s="6">
        <f t="shared" si="14"/>
        <v>1.4501312033998737E-4</v>
      </c>
      <c r="H87" s="6">
        <f t="shared" si="15"/>
        <v>1.6124386607427876E-3</v>
      </c>
    </row>
    <row r="88" spans="1:8">
      <c r="A88" s="4">
        <f t="shared" si="13"/>
        <v>2032</v>
      </c>
      <c r="B88" s="7">
        <f t="shared" si="16"/>
        <v>2.7516133754335543</v>
      </c>
      <c r="C88" s="6">
        <f t="shared" si="9"/>
        <v>7.3015320973151637E-2</v>
      </c>
      <c r="D88" s="8">
        <f t="shared" si="10"/>
        <v>0.89261280721842162</v>
      </c>
      <c r="E88" s="8">
        <f t="shared" si="11"/>
        <v>0.81959748624526996</v>
      </c>
      <c r="F88" s="6">
        <f t="shared" si="12"/>
        <v>0.7985607556033083</v>
      </c>
      <c r="G88" s="6">
        <f t="shared" si="14"/>
        <v>1.4150919774191806E-4</v>
      </c>
      <c r="H88" s="6">
        <f t="shared" si="15"/>
        <v>1.5734497557775562E-3</v>
      </c>
    </row>
    <row r="89" spans="1:8">
      <c r="A89" s="4">
        <f t="shared" si="13"/>
        <v>2033</v>
      </c>
      <c r="B89" s="7">
        <f t="shared" si="16"/>
        <v>2.7558383620208668</v>
      </c>
      <c r="C89" s="6">
        <f t="shared" si="9"/>
        <v>7.3025404006618694E-2</v>
      </c>
      <c r="D89" s="8">
        <f t="shared" si="10"/>
        <v>0.89273607237275299</v>
      </c>
      <c r="E89" s="8">
        <f t="shared" si="11"/>
        <v>0.81971066836613427</v>
      </c>
      <c r="F89" s="6">
        <f t="shared" si="12"/>
        <v>0.7985607556033083</v>
      </c>
      <c r="G89" s="6">
        <f t="shared" si="14"/>
        <v>1.3809476330006731E-4</v>
      </c>
      <c r="H89" s="6">
        <f t="shared" si="15"/>
        <v>1.5354579335284946E-3</v>
      </c>
    </row>
    <row r="90" spans="1:8">
      <c r="A90" s="4">
        <f t="shared" si="13"/>
        <v>2034</v>
      </c>
      <c r="B90" s="7">
        <f t="shared" si="16"/>
        <v>2.759967806976964</v>
      </c>
      <c r="C90" s="6">
        <f t="shared" si="9"/>
        <v>7.3035245443299104E-2</v>
      </c>
      <c r="D90" s="8">
        <f t="shared" si="10"/>
        <v>0.89285638400468548</v>
      </c>
      <c r="E90" s="8">
        <f t="shared" si="11"/>
        <v>0.81982113856138639</v>
      </c>
      <c r="F90" s="6">
        <f t="shared" si="12"/>
        <v>0.7985607556033083</v>
      </c>
      <c r="G90" s="6">
        <f t="shared" si="14"/>
        <v>1.3476730206796184E-4</v>
      </c>
      <c r="H90" s="6">
        <f t="shared" si="15"/>
        <v>1.4984351088969117E-3</v>
      </c>
    </row>
  </sheetData>
  <mergeCells count="4">
    <mergeCell ref="B3:C3"/>
    <mergeCell ref="E3:F3"/>
    <mergeCell ref="A14:H14"/>
    <mergeCell ref="A1:N1"/>
  </mergeCells>
  <pageMargins left="0.7" right="0.7" top="0.75" bottom="0.75" header="0.3" footer="0.3"/>
  <pageSetup orientation="portrait" horizontalDpi="4294967293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A97A9-A1DA-4CD5-ACC9-9118EE86132D}">
  <dimension ref="A1:N90"/>
  <sheetViews>
    <sheetView showGridLines="0" workbookViewId="0">
      <selection activeCell="D35" sqref="D35"/>
    </sheetView>
  </sheetViews>
  <sheetFormatPr baseColWidth="10" defaultColWidth="11.375" defaultRowHeight="14.25"/>
  <cols>
    <col min="1" max="7" width="10.375" style="1" customWidth="1"/>
    <col min="8" max="16384" width="11.375" style="1"/>
  </cols>
  <sheetData>
    <row r="1" spans="1:14" ht="41.25" customHeight="1">
      <c r="A1" s="18" t="s">
        <v>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3" spans="1:14" ht="15">
      <c r="B3" s="12" t="s">
        <v>0</v>
      </c>
      <c r="C3" s="12"/>
      <c r="E3" s="12" t="s">
        <v>1</v>
      </c>
      <c r="F3" s="12"/>
    </row>
    <row r="4" spans="1:14">
      <c r="B4" s="2" t="s">
        <v>2</v>
      </c>
      <c r="C4" s="3">
        <v>2.5000000000000001E-2</v>
      </c>
      <c r="E4" s="2" t="s">
        <v>6</v>
      </c>
      <c r="F4" s="3">
        <f>(1/C6)-1+C4</f>
        <v>2.7506265664160347E-2</v>
      </c>
    </row>
    <row r="5" spans="1:14" ht="15">
      <c r="B5" s="5" t="s">
        <v>16</v>
      </c>
      <c r="C5" s="3">
        <v>0.8</v>
      </c>
      <c r="E5" s="2" t="s">
        <v>7</v>
      </c>
      <c r="F5" s="3">
        <f>C7*(C8*C10^(1-C7))^(1/C7)</f>
        <v>1.0231910996030893</v>
      </c>
    </row>
    <row r="6" spans="1:14" ht="15">
      <c r="B6" s="5" t="s">
        <v>17</v>
      </c>
      <c r="C6" s="3">
        <v>0.99750000000000005</v>
      </c>
      <c r="E6" s="2" t="s">
        <v>8</v>
      </c>
      <c r="F6" s="3">
        <f>(C5*C7)/(C5*C7+(1-C5)*(1-C4*C10))</f>
        <v>0.7985607556033083</v>
      </c>
    </row>
    <row r="7" spans="1:14">
      <c r="B7" s="2" t="s">
        <v>3</v>
      </c>
      <c r="C7" s="3">
        <v>0.91</v>
      </c>
      <c r="E7" s="2" t="s">
        <v>9</v>
      </c>
      <c r="F7" s="3">
        <f>F6*(C8*C10^(1-C7))^(1/C7)</f>
        <v>0.89789039299518991</v>
      </c>
    </row>
    <row r="8" spans="1:14">
      <c r="B8" s="2" t="s">
        <v>4</v>
      </c>
      <c r="C8" s="3">
        <v>1</v>
      </c>
      <c r="E8" s="2" t="s">
        <v>10</v>
      </c>
      <c r="F8" s="3">
        <f>C10*F7</f>
        <v>2.9378810034129677</v>
      </c>
    </row>
    <row r="9" spans="1:14" ht="18.75">
      <c r="B9" s="2" t="s">
        <v>14</v>
      </c>
      <c r="C9" s="3">
        <v>1</v>
      </c>
      <c r="E9" s="2" t="s">
        <v>11</v>
      </c>
      <c r="F9" s="3">
        <f>F7*(1-C4*C10)</f>
        <v>0.82444336790986572</v>
      </c>
    </row>
    <row r="10" spans="1:14">
      <c r="B10" s="2" t="s">
        <v>5</v>
      </c>
      <c r="C10" s="3">
        <f>(1-C7)/(F4)</f>
        <v>3.2719817767653812</v>
      </c>
      <c r="E10" s="2" t="s">
        <v>12</v>
      </c>
      <c r="F10" s="3">
        <f>F7-F9</f>
        <v>7.3447025085324191E-2</v>
      </c>
    </row>
    <row r="11" spans="1:14" ht="18.75">
      <c r="B11" s="2" t="s">
        <v>15</v>
      </c>
      <c r="C11" s="3">
        <v>1</v>
      </c>
      <c r="E11" s="2" t="s">
        <v>18</v>
      </c>
      <c r="F11" s="3">
        <f>F10/F7</f>
        <v>8.1799544419134521E-2</v>
      </c>
    </row>
    <row r="12" spans="1:14">
      <c r="B12" s="14" t="s">
        <v>24</v>
      </c>
      <c r="C12" s="14">
        <v>1.05</v>
      </c>
      <c r="E12" s="14"/>
      <c r="F12" s="15"/>
    </row>
    <row r="13" spans="1:14">
      <c r="B13" s="4"/>
      <c r="C13" s="4"/>
    </row>
    <row r="14" spans="1:14" ht="15">
      <c r="A14" s="16" t="s">
        <v>19</v>
      </c>
      <c r="B14" s="17"/>
      <c r="C14" s="17"/>
      <c r="D14" s="17"/>
      <c r="E14" s="17"/>
      <c r="F14" s="17"/>
      <c r="G14" s="17"/>
      <c r="H14" s="17"/>
    </row>
    <row r="15" spans="1:14" ht="15">
      <c r="A15" s="13" t="s">
        <v>13</v>
      </c>
      <c r="B15" s="13" t="s">
        <v>10</v>
      </c>
      <c r="C15" s="13" t="s">
        <v>12</v>
      </c>
      <c r="D15" s="13" t="s">
        <v>9</v>
      </c>
      <c r="E15" s="13" t="s">
        <v>11</v>
      </c>
      <c r="F15" s="13" t="s">
        <v>8</v>
      </c>
      <c r="G15" s="13" t="s">
        <v>21</v>
      </c>
      <c r="H15" s="13" t="s">
        <v>22</v>
      </c>
    </row>
    <row r="16" spans="1:14">
      <c r="A16" s="4">
        <v>1960</v>
      </c>
      <c r="B16" s="9">
        <f>(1-C4)*C9+C11</f>
        <v>1.9750000000000001</v>
      </c>
      <c r="C16" s="6">
        <f>$F$11*D16</f>
        <v>7.0868325401049925E-2</v>
      </c>
      <c r="D16" s="8">
        <f>$C$8*B16^(1-$C$7)*F16^($C$7)</f>
        <v>0.8663657714024191</v>
      </c>
      <c r="E16" s="8">
        <f>D16-C16</f>
        <v>0.79549744600136918</v>
      </c>
      <c r="F16" s="6">
        <f>$F$6</f>
        <v>0.7985607556033083</v>
      </c>
    </row>
    <row r="17" spans="1:9">
      <c r="A17" s="4">
        <f>A16+1</f>
        <v>1961</v>
      </c>
      <c r="B17" s="7">
        <f>(1-$C$4)*B16+C16</f>
        <v>1.9964933254010502</v>
      </c>
      <c r="C17" s="6">
        <f t="shared" ref="C17:C80" si="0">$F$11*D17</f>
        <v>7.0937395526378566E-2</v>
      </c>
      <c r="D17" s="8">
        <f>$C$8*B17^(1-$C$7)*F16^($C$7)</f>
        <v>0.86721015416541747</v>
      </c>
      <c r="E17" s="8">
        <f>D17-C17</f>
        <v>0.7962727586390389</v>
      </c>
      <c r="F17" s="6">
        <f t="shared" ref="F17:F24" si="1">$F$6</f>
        <v>0.7985607556033083</v>
      </c>
      <c r="G17" s="6">
        <f>D17/D16-1</f>
        <v>9.7462618084676045E-4</v>
      </c>
      <c r="H17" s="6">
        <f>B17/B16-1</f>
        <v>1.0882696405595027E-2</v>
      </c>
      <c r="I17" s="1">
        <f>C17/C16-1</f>
        <v>9.7462618084698249E-4</v>
      </c>
    </row>
    <row r="18" spans="1:9">
      <c r="A18" s="4">
        <f t="shared" ref="A18:A81" si="2">A17+1</f>
        <v>1962</v>
      </c>
      <c r="B18" s="7">
        <f>(1-$C$4)*B17+C17</f>
        <v>2.0175183877924026</v>
      </c>
      <c r="C18" s="6">
        <f t="shared" si="0"/>
        <v>7.1004309238528837E-2</v>
      </c>
      <c r="D18" s="8">
        <f t="shared" ref="D18:D81" si="3">$C$8*B18^(1-$C$7)*F17^($C$7)</f>
        <v>0.86802817476229777</v>
      </c>
      <c r="E18" s="8">
        <f t="shared" ref="E18:E81" si="4">D18-C18</f>
        <v>0.79702386552376892</v>
      </c>
      <c r="F18" s="6">
        <f t="shared" si="1"/>
        <v>0.7985607556033083</v>
      </c>
      <c r="G18" s="6">
        <f t="shared" ref="G18:G81" si="5">D18/D17-1</f>
        <v>9.4327838869401326E-4</v>
      </c>
      <c r="H18" s="6">
        <f t="shared" ref="H18:H81" si="6">B18/B17-1</f>
        <v>1.053099558303261E-2</v>
      </c>
      <c r="I18" s="1">
        <f t="shared" ref="I18:I81" si="7">C18/C17-1</f>
        <v>9.4327838869401326E-4</v>
      </c>
    </row>
    <row r="19" spans="1:9">
      <c r="A19" s="4">
        <f t="shared" si="2"/>
        <v>1963</v>
      </c>
      <c r="B19" s="7">
        <f t="shared" ref="B19:B82" si="8">(1-$C$4)*B18+C18</f>
        <v>2.0380847373361211</v>
      </c>
      <c r="C19" s="6">
        <f>$F$11*D19</f>
        <v>7.1069151914091536E-2</v>
      </c>
      <c r="D19" s="8">
        <f t="shared" si="3"/>
        <v>0.86882087692247667</v>
      </c>
      <c r="E19" s="8">
        <f t="shared" si="4"/>
        <v>0.79775172500838509</v>
      </c>
      <c r="F19" s="6">
        <f t="shared" si="1"/>
        <v>0.7985607556033083</v>
      </c>
      <c r="G19" s="6">
        <f t="shared" si="5"/>
        <v>9.1322169398022623E-4</v>
      </c>
      <c r="H19" s="6">
        <f t="shared" si="6"/>
        <v>1.0193884560438793E-2</v>
      </c>
      <c r="I19" s="1">
        <f t="shared" si="7"/>
        <v>9.1322169398022623E-4</v>
      </c>
    </row>
    <row r="20" spans="1:9">
      <c r="A20" s="4">
        <f t="shared" si="2"/>
        <v>1964</v>
      </c>
      <c r="B20" s="7">
        <f t="shared" si="8"/>
        <v>2.0582017708168094</v>
      </c>
      <c r="C20" s="6">
        <f t="shared" si="0"/>
        <v>7.1132004436902888E-2</v>
      </c>
      <c r="D20" s="8">
        <f t="shared" si="3"/>
        <v>0.86958924945141525</v>
      </c>
      <c r="E20" s="8">
        <f t="shared" si="4"/>
        <v>0.79845724501451232</v>
      </c>
      <c r="F20" s="6">
        <f t="shared" si="1"/>
        <v>0.7985607556033083</v>
      </c>
      <c r="G20" s="6">
        <f t="shared" si="5"/>
        <v>8.8438543472890707E-4</v>
      </c>
      <c r="H20" s="6">
        <f t="shared" si="6"/>
        <v>9.8705579371456409E-3</v>
      </c>
      <c r="I20" s="1">
        <f t="shared" si="7"/>
        <v>8.8438543472890707E-4</v>
      </c>
    </row>
    <row r="21" spans="1:9">
      <c r="A21" s="4">
        <f t="shared" si="2"/>
        <v>1965</v>
      </c>
      <c r="B21" s="7">
        <f>(1-$C$4)*B20+C20</f>
        <v>2.0778787309832918</v>
      </c>
      <c r="C21" s="6">
        <f t="shared" si="0"/>
        <v>7.1192943506112452E-2</v>
      </c>
      <c r="D21" s="8">
        <f t="shared" si="3"/>
        <v>0.87033422999675081</v>
      </c>
      <c r="E21" s="8">
        <f t="shared" si="4"/>
        <v>0.79914128649063831</v>
      </c>
      <c r="F21" s="6">
        <f t="shared" si="1"/>
        <v>0.7985607556033083</v>
      </c>
      <c r="G21" s="6">
        <f t="shared" si="5"/>
        <v>8.5670395052095394E-4</v>
      </c>
      <c r="H21" s="6">
        <f t="shared" si="6"/>
        <v>9.5602678247981299E-3</v>
      </c>
      <c r="I21" s="1">
        <f t="shared" si="7"/>
        <v>8.5670395052095394E-4</v>
      </c>
    </row>
    <row r="22" spans="1:9">
      <c r="A22" s="4">
        <f t="shared" si="2"/>
        <v>1966</v>
      </c>
      <c r="B22" s="7">
        <f t="shared" si="8"/>
        <v>2.0971247062148217</v>
      </c>
      <c r="C22" s="6">
        <f t="shared" si="0"/>
        <v>7.1252041918084374E-2</v>
      </c>
      <c r="D22" s="8">
        <f t="shared" si="3"/>
        <v>0.87105670849454164</v>
      </c>
      <c r="E22" s="8">
        <f>D22-C22</f>
        <v>0.79980466657645732</v>
      </c>
      <c r="F22" s="6">
        <f>$F$6</f>
        <v>0.7985607556033083</v>
      </c>
      <c r="G22" s="6">
        <f t="shared" si="5"/>
        <v>8.3011614721106852E-4</v>
      </c>
      <c r="H22" s="6">
        <f t="shared" si="6"/>
        <v>9.2623187987599387E-3</v>
      </c>
      <c r="I22" s="1">
        <f t="shared" si="7"/>
        <v>8.3011614721129057E-4</v>
      </c>
    </row>
    <row r="23" spans="1:9">
      <c r="A23" s="4">
        <f t="shared" si="2"/>
        <v>1967</v>
      </c>
      <c r="B23" s="7">
        <f t="shared" si="8"/>
        <v>2.1159486304775355</v>
      </c>
      <c r="C23" s="6">
        <f t="shared" si="0"/>
        <v>7.1309368824767877E-2</v>
      </c>
      <c r="D23" s="8">
        <f t="shared" si="3"/>
        <v>0.87175753032784875</v>
      </c>
      <c r="E23" s="8">
        <f t="shared" si="4"/>
        <v>0.80044816150308085</v>
      </c>
      <c r="F23" s="6">
        <f t="shared" si="1"/>
        <v>0.7985607556033083</v>
      </c>
      <c r="G23" s="6">
        <f t="shared" si="5"/>
        <v>8.0456510635040779E-4</v>
      </c>
      <c r="H23" s="6">
        <f t="shared" si="6"/>
        <v>8.9760633723541261E-3</v>
      </c>
      <c r="I23" s="1">
        <f t="shared" si="7"/>
        <v>8.0456510635040779E-4</v>
      </c>
    </row>
    <row r="24" spans="1:9">
      <c r="A24" s="4">
        <f t="shared" si="2"/>
        <v>1968</v>
      </c>
      <c r="B24" s="7">
        <f t="shared" si="8"/>
        <v>2.1343592835403649</v>
      </c>
      <c r="C24" s="6">
        <f t="shared" si="0"/>
        <v>7.1364989970866696E-2</v>
      </c>
      <c r="D24" s="8">
        <f t="shared" si="3"/>
        <v>0.8724374992261329</v>
      </c>
      <c r="E24" s="8">
        <f t="shared" si="4"/>
        <v>0.80107250925526619</v>
      </c>
      <c r="F24" s="6">
        <f t="shared" si="1"/>
        <v>0.7985607556033083</v>
      </c>
      <c r="G24" s="6">
        <f t="shared" si="5"/>
        <v>7.7999773403547579E-4</v>
      </c>
      <c r="H24" s="6">
        <f t="shared" si="6"/>
        <v>8.7008979318530244E-3</v>
      </c>
      <c r="I24" s="1">
        <f t="shared" si="7"/>
        <v>7.7999773403547579E-4</v>
      </c>
    </row>
    <row r="25" spans="1:9">
      <c r="A25" s="4">
        <f t="shared" si="2"/>
        <v>1969</v>
      </c>
      <c r="B25" s="7">
        <f t="shared" si="8"/>
        <v>2.1523652914227225</v>
      </c>
      <c r="C25" s="6">
        <f t="shared" si="0"/>
        <v>7.1418967911872411E-2</v>
      </c>
      <c r="D25" s="8">
        <f t="shared" si="3"/>
        <v>0.87309737993071401</v>
      </c>
      <c r="E25" s="8">
        <f t="shared" si="4"/>
        <v>0.8016784120188416</v>
      </c>
      <c r="F25" s="6">
        <f t="shared" ref="F25:F88" si="9">F16</f>
        <v>0.7985607556033083</v>
      </c>
      <c r="G25" s="6">
        <f t="shared" si="5"/>
        <v>7.5636444463511587E-4</v>
      </c>
      <c r="H25" s="6">
        <f t="shared" si="6"/>
        <v>8.4362590784108349E-3</v>
      </c>
      <c r="I25" s="1">
        <f t="shared" si="7"/>
        <v>7.5636444463533792E-4</v>
      </c>
    </row>
    <row r="26" spans="1:9">
      <c r="A26" s="4">
        <f t="shared" si="2"/>
        <v>1970</v>
      </c>
      <c r="B26" s="11">
        <f t="shared" si="8"/>
        <v>2.1699751270490268</v>
      </c>
      <c r="C26" s="6">
        <f t="shared" si="0"/>
        <v>7.1471362214794221E-2</v>
      </c>
      <c r="D26" s="8">
        <f t="shared" si="3"/>
        <v>0.87373790064869439</v>
      </c>
      <c r="E26" s="8">
        <f t="shared" si="4"/>
        <v>0.80226653843390017</v>
      </c>
      <c r="F26" s="6">
        <f t="shared" si="9"/>
        <v>0.7985607556033083</v>
      </c>
      <c r="G26" s="6">
        <f t="shared" si="5"/>
        <v>7.3361887540102089E-4</v>
      </c>
      <c r="H26" s="6">
        <f t="shared" si="6"/>
        <v>8.1816203301923185E-3</v>
      </c>
      <c r="I26" s="1">
        <f t="shared" si="7"/>
        <v>7.3361887540102089E-4</v>
      </c>
    </row>
    <row r="27" spans="1:9">
      <c r="A27" s="4">
        <f t="shared" si="2"/>
        <v>1971</v>
      </c>
      <c r="B27" s="11">
        <f t="shared" si="8"/>
        <v>2.1871971110875954</v>
      </c>
      <c r="C27" s="6">
        <f t="shared" si="0"/>
        <v>7.1522229643216514E-2</v>
      </c>
      <c r="D27" s="8">
        <f t="shared" si="3"/>
        <v>0.8743597553152882</v>
      </c>
      <c r="E27" s="8">
        <f t="shared" si="4"/>
        <v>0.80283752567207167</v>
      </c>
      <c r="F27" s="6">
        <f t="shared" si="9"/>
        <v>0.7985607556033083</v>
      </c>
      <c r="G27" s="6">
        <f t="shared" si="5"/>
        <v>7.1171762851540699E-4</v>
      </c>
      <c r="H27" s="6">
        <f t="shared" si="6"/>
        <v>7.9364891439972496E-3</v>
      </c>
      <c r="I27" s="1">
        <f t="shared" si="7"/>
        <v>7.1171762851562903E-4</v>
      </c>
    </row>
    <row r="28" spans="1:9">
      <c r="A28" s="4">
        <f t="shared" si="2"/>
        <v>1972</v>
      </c>
      <c r="B28" s="7">
        <f t="shared" si="8"/>
        <v>2.2040394129536218</v>
      </c>
      <c r="C28" s="6">
        <f t="shared" si="0"/>
        <v>7.1571624328137642E-2</v>
      </c>
      <c r="D28" s="8">
        <f t="shared" si="3"/>
        <v>0.87496360568232745</v>
      </c>
      <c r="E28" s="8">
        <f t="shared" si="4"/>
        <v>0.80339198135418977</v>
      </c>
      <c r="F28" s="6">
        <f t="shared" si="9"/>
        <v>0.7985607556033083</v>
      </c>
      <c r="G28" s="6">
        <f t="shared" si="5"/>
        <v>6.9062003753983525E-4</v>
      </c>
      <c r="H28" s="6">
        <f t="shared" si="6"/>
        <v>7.7004042208392853E-3</v>
      </c>
      <c r="I28" s="1">
        <f t="shared" si="7"/>
        <v>6.9062003753983525E-4</v>
      </c>
    </row>
    <row r="29" spans="1:9">
      <c r="A29" s="4">
        <f t="shared" si="2"/>
        <v>1973</v>
      </c>
      <c r="B29" s="7">
        <f t="shared" si="8"/>
        <v>2.2205100519579188</v>
      </c>
      <c r="C29" s="6">
        <f t="shared" si="0"/>
        <v>7.161959792588847E-2</v>
      </c>
      <c r="D29" s="8">
        <f t="shared" si="3"/>
        <v>0.87555008324881622</v>
      </c>
      <c r="E29" s="8">
        <f t="shared" si="4"/>
        <v>0.80393048532292777</v>
      </c>
      <c r="F29" s="6">
        <f t="shared" si="9"/>
        <v>0.7985607556033083</v>
      </c>
      <c r="G29" s="6">
        <f t="shared" si="5"/>
        <v>6.7028795561330234E-4</v>
      </c>
      <c r="H29" s="6">
        <f t="shared" si="6"/>
        <v>7.4729330643978908E-3</v>
      </c>
      <c r="I29" s="1">
        <f t="shared" si="7"/>
        <v>6.7028795561330234E-4</v>
      </c>
    </row>
    <row r="30" spans="1:9">
      <c r="A30" s="4">
        <f t="shared" si="2"/>
        <v>1974</v>
      </c>
      <c r="B30" s="7">
        <f t="shared" si="8"/>
        <v>2.2366168985848591</v>
      </c>
      <c r="C30" s="6">
        <f t="shared" si="0"/>
        <v>7.1666199764292171E-2</v>
      </c>
      <c r="D30" s="8">
        <f t="shared" si="3"/>
        <v>0.87611979104773652</v>
      </c>
      <c r="E30" s="8">
        <f t="shared" si="4"/>
        <v>0.80445359128344429</v>
      </c>
      <c r="F30" s="6">
        <f t="shared" si="9"/>
        <v>0.7985607556033083</v>
      </c>
      <c r="G30" s="6">
        <f t="shared" si="5"/>
        <v>6.5068556307634751E-4</v>
      </c>
      <c r="H30" s="6">
        <f t="shared" si="6"/>
        <v>7.2536697650786852E-3</v>
      </c>
      <c r="I30" s="1">
        <f t="shared" si="7"/>
        <v>6.5068556307634751E-4</v>
      </c>
    </row>
    <row r="31" spans="1:9">
      <c r="A31" s="4">
        <f t="shared" si="2"/>
        <v>1975</v>
      </c>
      <c r="B31" s="7">
        <f t="shared" si="8"/>
        <v>2.2523676758845297</v>
      </c>
      <c r="C31" s="6">
        <f t="shared" si="0"/>
        <v>7.1711476978106939E-2</v>
      </c>
      <c r="D31" s="8">
        <f t="shared" si="3"/>
        <v>0.87667330530183518</v>
      </c>
      <c r="E31" s="8">
        <f t="shared" si="4"/>
        <v>0.8049618283237282</v>
      </c>
      <c r="F31" s="6">
        <f t="shared" si="9"/>
        <v>0.7985607556033083</v>
      </c>
      <c r="G31" s="6">
        <f t="shared" si="5"/>
        <v>6.3177919247414671E-4</v>
      </c>
      <c r="H31" s="6">
        <f t="shared" si="6"/>
        <v>7.0422329857366961E-3</v>
      </c>
      <c r="I31" s="1">
        <f t="shared" si="7"/>
        <v>6.3177919247414671E-4</v>
      </c>
    </row>
    <row r="32" spans="1:9">
      <c r="A32" s="4">
        <f t="shared" si="2"/>
        <v>1976</v>
      </c>
      <c r="B32" s="7">
        <f t="shared" si="8"/>
        <v>2.2677699609655231</v>
      </c>
      <c r="C32" s="6">
        <f t="shared" si="0"/>
        <v>7.1755474634686206E-2</v>
      </c>
      <c r="D32" s="8">
        <f t="shared" si="3"/>
        <v>0.87721117695982176</v>
      </c>
      <c r="E32" s="8">
        <f t="shared" si="4"/>
        <v>0.80545570232513553</v>
      </c>
      <c r="F32" s="6">
        <f t="shared" si="9"/>
        <v>0.7985607556033083</v>
      </c>
      <c r="G32" s="6">
        <f t="shared" si="5"/>
        <v>6.1353716912981859E-4</v>
      </c>
      <c r="H32" s="6">
        <f t="shared" si="6"/>
        <v>6.8382641279669532E-3</v>
      </c>
      <c r="I32" s="1">
        <f t="shared" si="7"/>
        <v>6.1353716912981859E-4</v>
      </c>
    </row>
    <row r="33" spans="1:9">
      <c r="A33" s="4">
        <f t="shared" si="2"/>
        <v>1977</v>
      </c>
      <c r="B33" s="7">
        <f t="shared" si="8"/>
        <v>2.2828311865760713</v>
      </c>
      <c r="C33" s="6">
        <f t="shared" si="0"/>
        <v>7.1798235850697348E-2</v>
      </c>
      <c r="D33" s="8">
        <f t="shared" si="3"/>
        <v>0.87773393312325498</v>
      </c>
      <c r="E33" s="8">
        <f t="shared" si="4"/>
        <v>0.80593569727255765</v>
      </c>
      <c r="F33" s="6">
        <f t="shared" si="9"/>
        <v>0.7985607556033083</v>
      </c>
      <c r="G33" s="6">
        <f t="shared" si="5"/>
        <v>5.9592966569921302E-4</v>
      </c>
      <c r="H33" s="6">
        <f t="shared" si="6"/>
        <v>6.6414256603593014E-3</v>
      </c>
      <c r="I33" s="1">
        <f t="shared" si="7"/>
        <v>5.9592966569921302E-4</v>
      </c>
    </row>
    <row r="34" spans="1:9">
      <c r="A34" s="4">
        <f t="shared" si="2"/>
        <v>1978</v>
      </c>
      <c r="B34" s="7">
        <f t="shared" si="8"/>
        <v>2.2975586427623669</v>
      </c>
      <c r="C34" s="6">
        <f>$F$11*D34</f>
        <v>7.5431791995689237E-2</v>
      </c>
      <c r="D34" s="20">
        <f>C12*B34^(1-$C$7)*F33^($C$7)</f>
        <v>0.92215418229205026</v>
      </c>
      <c r="E34" s="8">
        <f t="shared" si="4"/>
        <v>0.84672239029636098</v>
      </c>
      <c r="F34" s="6">
        <f t="shared" si="9"/>
        <v>0.7985607556033083</v>
      </c>
      <c r="G34" s="6">
        <f t="shared" si="5"/>
        <v>5.0607874997761648E-2</v>
      </c>
      <c r="H34" s="6">
        <f t="shared" si="6"/>
        <v>6.4513995922688139E-3</v>
      </c>
      <c r="I34" s="1">
        <f t="shared" si="7"/>
        <v>5.0607874997761426E-2</v>
      </c>
    </row>
    <row r="35" spans="1:9">
      <c r="A35" s="4">
        <f t="shared" si="2"/>
        <v>1979</v>
      </c>
      <c r="B35" s="7">
        <f t="shared" si="8"/>
        <v>2.3155514686889966</v>
      </c>
      <c r="C35" s="6">
        <f t="shared" si="0"/>
        <v>7.1890256161980096E-2</v>
      </c>
      <c r="D35" s="8">
        <f>$C$8*B35^(1-$C$7)*F34^($C$7)</f>
        <v>0.87885888206931806</v>
      </c>
      <c r="E35" s="8">
        <f t="shared" si="4"/>
        <v>0.80696862590733798</v>
      </c>
      <c r="F35" s="6">
        <f t="shared" si="9"/>
        <v>0.7985607556033083</v>
      </c>
      <c r="G35" s="6">
        <f t="shared" si="5"/>
        <v>-4.6950174986052806E-2</v>
      </c>
      <c r="H35" s="6">
        <f t="shared" si="6"/>
        <v>7.8312803824658328E-3</v>
      </c>
      <c r="I35" s="1">
        <f t="shared" si="7"/>
        <v>-4.6950174986052695E-2</v>
      </c>
    </row>
    <row r="36" spans="1:9">
      <c r="A36" s="4">
        <f t="shared" si="2"/>
        <v>1980</v>
      </c>
      <c r="B36" s="7">
        <f t="shared" si="8"/>
        <v>2.3295529381337521</v>
      </c>
      <c r="C36" s="6">
        <f t="shared" si="0"/>
        <v>7.1929271898559272E-2</v>
      </c>
      <c r="D36" s="8">
        <f t="shared" si="3"/>
        <v>0.87933584972062029</v>
      </c>
      <c r="E36" s="8">
        <f t="shared" si="4"/>
        <v>0.80740657782206104</v>
      </c>
      <c r="F36" s="6">
        <f t="shared" si="9"/>
        <v>0.7985607556033083</v>
      </c>
      <c r="G36" s="6">
        <f t="shared" si="5"/>
        <v>5.4271244341208558E-4</v>
      </c>
      <c r="H36" s="6">
        <f t="shared" si="6"/>
        <v>6.0467105283921185E-3</v>
      </c>
      <c r="I36" s="1">
        <f t="shared" si="7"/>
        <v>5.4271244341186353E-4</v>
      </c>
    </row>
    <row r="37" spans="1:9">
      <c r="A37" s="4">
        <f t="shared" si="2"/>
        <v>1981</v>
      </c>
      <c r="B37" s="7">
        <f t="shared" si="8"/>
        <v>2.3432433865789672</v>
      </c>
      <c r="C37" s="6">
        <f t="shared" si="0"/>
        <v>7.1967215168555906E-2</v>
      </c>
      <c r="D37" s="8">
        <f t="shared" si="3"/>
        <v>0.87979970646048444</v>
      </c>
      <c r="E37" s="8">
        <f t="shared" si="4"/>
        <v>0.80783249129192858</v>
      </c>
      <c r="F37" s="6">
        <f t="shared" si="9"/>
        <v>0.7985607556033083</v>
      </c>
      <c r="G37" s="6">
        <f t="shared" si="5"/>
        <v>5.275080505491303E-4</v>
      </c>
      <c r="H37" s="6">
        <f t="shared" si="6"/>
        <v>5.8768565509323967E-3</v>
      </c>
      <c r="I37" s="1">
        <f t="shared" si="7"/>
        <v>5.275080505491303E-4</v>
      </c>
    </row>
    <row r="38" spans="1:9">
      <c r="A38" s="4">
        <f t="shared" si="2"/>
        <v>1982</v>
      </c>
      <c r="B38" s="7">
        <f t="shared" si="8"/>
        <v>2.3566295170830487</v>
      </c>
      <c r="C38" s="6">
        <f t="shared" si="0"/>
        <v>7.2004120460818E-2</v>
      </c>
      <c r="D38" s="8">
        <f t="shared" si="3"/>
        <v>0.88025087391531764</v>
      </c>
      <c r="E38" s="8">
        <f t="shared" si="4"/>
        <v>0.8082467534544997</v>
      </c>
      <c r="F38" s="6">
        <f t="shared" si="9"/>
        <v>0.7985607556033083</v>
      </c>
      <c r="G38" s="6">
        <f t="shared" si="5"/>
        <v>5.1280700768630005E-4</v>
      </c>
      <c r="H38" s="6">
        <f t="shared" si="6"/>
        <v>5.7126505000508754E-3</v>
      </c>
      <c r="I38" s="1">
        <f t="shared" si="7"/>
        <v>5.1280700768607801E-4</v>
      </c>
    </row>
    <row r="39" spans="1:9">
      <c r="A39" s="4">
        <f t="shared" si="2"/>
        <v>1983</v>
      </c>
      <c r="B39" s="7">
        <f t="shared" si="8"/>
        <v>2.3697178996167905</v>
      </c>
      <c r="C39" s="6">
        <f t="shared" si="0"/>
        <v>7.2040020882304379E-2</v>
      </c>
      <c r="D39" s="8">
        <f t="shared" si="3"/>
        <v>0.88068975681792194</v>
      </c>
      <c r="E39" s="8">
        <f t="shared" si="4"/>
        <v>0.80864973593561751</v>
      </c>
      <c r="F39" s="6">
        <f t="shared" si="9"/>
        <v>0.7985607556033083</v>
      </c>
      <c r="G39" s="6">
        <f t="shared" si="5"/>
        <v>4.9858843155958787E-4</v>
      </c>
      <c r="H39" s="6">
        <f t="shared" si="6"/>
        <v>5.5538566579367288E-3</v>
      </c>
      <c r="I39" s="1">
        <f t="shared" si="7"/>
        <v>4.9858843155958787E-4</v>
      </c>
    </row>
    <row r="40" spans="1:9">
      <c r="A40" s="4">
        <f t="shared" si="2"/>
        <v>1984</v>
      </c>
      <c r="B40" s="7">
        <f t="shared" si="8"/>
        <v>2.382514973008675</v>
      </c>
      <c r="C40" s="6">
        <f t="shared" si="0"/>
        <v>7.207494822860637E-2</v>
      </c>
      <c r="D40" s="8">
        <f t="shared" si="3"/>
        <v>0.88111674386962269</v>
      </c>
      <c r="E40" s="8">
        <f t="shared" si="4"/>
        <v>0.8090417956410163</v>
      </c>
      <c r="F40" s="6">
        <f t="shared" si="9"/>
        <v>0.7985607556033083</v>
      </c>
      <c r="G40" s="6">
        <f t="shared" si="5"/>
        <v>4.8483253994402453E-4</v>
      </c>
      <c r="H40" s="6">
        <f t="shared" si="6"/>
        <v>5.4002518164519842E-3</v>
      </c>
      <c r="I40" s="1">
        <f t="shared" si="7"/>
        <v>4.8483253994402453E-4</v>
      </c>
    </row>
    <row r="41" spans="1:9">
      <c r="A41" s="4">
        <f t="shared" si="2"/>
        <v>1985</v>
      </c>
      <c r="B41" s="7">
        <f t="shared" si="8"/>
        <v>2.3950270469120647</v>
      </c>
      <c r="C41" s="6">
        <f t="shared" si="0"/>
        <v>7.2108933049999144E-2</v>
      </c>
      <c r="D41" s="8">
        <f t="shared" si="3"/>
        <v>0.8815322085477465</v>
      </c>
      <c r="E41" s="8">
        <f t="shared" si="4"/>
        <v>0.8094232754977474</v>
      </c>
      <c r="F41" s="6">
        <f t="shared" si="9"/>
        <v>0.7985607556033083</v>
      </c>
      <c r="G41" s="6">
        <f t="shared" si="5"/>
        <v>4.7152058000765606E-4</v>
      </c>
      <c r="H41" s="6">
        <f t="shared" si="6"/>
        <v>5.2516244578262317E-3</v>
      </c>
      <c r="I41" s="1">
        <f t="shared" si="7"/>
        <v>4.7152058000765606E-4</v>
      </c>
    </row>
    <row r="42" spans="1:9">
      <c r="A42" s="4">
        <f t="shared" si="2"/>
        <v>1986</v>
      </c>
      <c r="B42" s="7">
        <f t="shared" si="8"/>
        <v>2.4072603037892621</v>
      </c>
      <c r="C42" s="6">
        <f t="shared" si="0"/>
        <v>7.2142004713361574E-2</v>
      </c>
      <c r="D42" s="8">
        <f t="shared" si="3"/>
        <v>0.88193650986259209</v>
      </c>
      <c r="E42" s="8">
        <f t="shared" si="4"/>
        <v>0.80979450514923057</v>
      </c>
      <c r="F42" s="6">
        <f t="shared" si="9"/>
        <v>0.7985607556033083</v>
      </c>
      <c r="G42" s="6">
        <f t="shared" si="5"/>
        <v>4.5863476220753263E-4</v>
      </c>
      <c r="H42" s="6">
        <f t="shared" si="6"/>
        <v>5.1077739990326165E-3</v>
      </c>
      <c r="I42" s="1">
        <f t="shared" si="7"/>
        <v>4.5863476220753263E-4</v>
      </c>
    </row>
    <row r="43" spans="1:9">
      <c r="A43" s="4">
        <f t="shared" si="2"/>
        <v>1987</v>
      </c>
      <c r="B43" s="7">
        <f t="shared" si="8"/>
        <v>2.4192208009078922</v>
      </c>
      <c r="C43" s="6">
        <f t="shared" si="0"/>
        <v>7.2174191460272624E-2</v>
      </c>
      <c r="D43" s="8">
        <f t="shared" si="3"/>
        <v>0.88232999306765891</v>
      </c>
      <c r="E43" s="8">
        <f t="shared" si="4"/>
        <v>0.81015580160738632</v>
      </c>
      <c r="F43" s="6">
        <f t="shared" si="9"/>
        <v>0.7985607556033083</v>
      </c>
      <c r="G43" s="6">
        <f t="shared" si="5"/>
        <v>4.4615819922011468E-4</v>
      </c>
      <c r="H43" s="6">
        <f t="shared" si="6"/>
        <v>4.9685100941527782E-3</v>
      </c>
      <c r="I43" s="1">
        <f t="shared" si="7"/>
        <v>4.4615819922011468E-4</v>
      </c>
    </row>
    <row r="44" spans="1:9">
      <c r="A44" s="4">
        <f t="shared" si="2"/>
        <v>1988</v>
      </c>
      <c r="B44" s="7">
        <f t="shared" si="8"/>
        <v>2.4309144723454672</v>
      </c>
      <c r="C44" s="6">
        <f t="shared" si="0"/>
        <v>7.2205520461566544E-2</v>
      </c>
      <c r="D44" s="8">
        <f t="shared" si="3"/>
        <v>0.88271299032658501</v>
      </c>
      <c r="E44" s="8">
        <f t="shared" si="4"/>
        <v>0.81050746986501843</v>
      </c>
      <c r="F44" s="6">
        <f t="shared" si="9"/>
        <v>0.7985607556033083</v>
      </c>
      <c r="G44" s="6">
        <f t="shared" si="5"/>
        <v>4.3407484947266539E-4</v>
      </c>
      <c r="H44" s="6">
        <f t="shared" si="6"/>
        <v>4.8336519895937347E-3</v>
      </c>
      <c r="I44" s="1">
        <f t="shared" si="7"/>
        <v>4.3407484947244335E-4</v>
      </c>
    </row>
    <row r="45" spans="1:9">
      <c r="A45" s="4">
        <f t="shared" si="2"/>
        <v>1989</v>
      </c>
      <c r="B45" s="7">
        <f t="shared" si="8"/>
        <v>2.4423471309983968</v>
      </c>
      <c r="C45" s="6">
        <f t="shared" si="0"/>
        <v>7.2236017868604938E-2</v>
      </c>
      <c r="D45" s="8">
        <f t="shared" si="3"/>
        <v>0.88308582133994762</v>
      </c>
      <c r="E45" s="8">
        <f t="shared" si="4"/>
        <v>0.81084980347134272</v>
      </c>
      <c r="F45" s="6">
        <f t="shared" si="9"/>
        <v>0.7985607556033083</v>
      </c>
      <c r="G45" s="6">
        <f t="shared" si="5"/>
        <v>4.2236946487528293E-4</v>
      </c>
      <c r="H45" s="6">
        <f t="shared" si="6"/>
        <v>4.7030279275515063E-3</v>
      </c>
      <c r="I45" s="1">
        <f t="shared" si="7"/>
        <v>4.2236946487528293E-4</v>
      </c>
    </row>
    <row r="46" spans="1:9">
      <c r="A46" s="4">
        <f t="shared" si="2"/>
        <v>1990</v>
      </c>
      <c r="B46" s="7">
        <f t="shared" si="8"/>
        <v>2.453524470592042</v>
      </c>
      <c r="C46" s="6">
        <f t="shared" si="0"/>
        <v>7.2265708861501257E-2</v>
      </c>
      <c r="D46" s="8">
        <f t="shared" si="3"/>
        <v>0.88344879393480935</v>
      </c>
      <c r="E46" s="8">
        <f t="shared" si="4"/>
        <v>0.81118308507330805</v>
      </c>
      <c r="F46" s="6">
        <f t="shared" si="9"/>
        <v>0.7985607556033083</v>
      </c>
      <c r="G46" s="6">
        <f t="shared" si="5"/>
        <v>4.1102754238653283E-4</v>
      </c>
      <c r="H46" s="6">
        <f t="shared" si="6"/>
        <v>4.5764745935505946E-3</v>
      </c>
      <c r="I46" s="1">
        <f t="shared" si="7"/>
        <v>4.1102754238653283E-4</v>
      </c>
    </row>
    <row r="47" spans="1:9">
      <c r="A47" s="4">
        <f t="shared" si="2"/>
        <v>1991</v>
      </c>
      <c r="B47" s="7">
        <f t="shared" si="8"/>
        <v>2.4644520676887423</v>
      </c>
      <c r="C47" s="6">
        <f t="shared" si="0"/>
        <v>7.229461769451509E-2</v>
      </c>
      <c r="D47" s="8">
        <f t="shared" si="3"/>
        <v>0.8838022046196623</v>
      </c>
      <c r="E47" s="8">
        <f t="shared" si="4"/>
        <v>0.81150758692514724</v>
      </c>
      <c r="F47" s="6">
        <f t="shared" si="9"/>
        <v>0.7985607556033083</v>
      </c>
      <c r="G47" s="6">
        <f t="shared" si="5"/>
        <v>4.000352791007078E-4</v>
      </c>
      <c r="H47" s="6">
        <f t="shared" si="6"/>
        <v>4.4538366043129773E-3</v>
      </c>
      <c r="I47" s="1">
        <f t="shared" si="7"/>
        <v>4.0003527910092984E-4</v>
      </c>
    </row>
    <row r="48" spans="1:9">
      <c r="A48" s="4">
        <f t="shared" si="2"/>
        <v>1992</v>
      </c>
      <c r="B48" s="7">
        <f t="shared" si="8"/>
        <v>2.4751353836910388</v>
      </c>
      <c r="C48" s="6">
        <f t="shared" si="0"/>
        <v>7.2322767738814048E-2</v>
      </c>
      <c r="D48" s="8">
        <f t="shared" si="3"/>
        <v>0.88414633910719354</v>
      </c>
      <c r="E48" s="8">
        <f t="shared" si="4"/>
        <v>0.81182357136837946</v>
      </c>
      <c r="F48" s="6">
        <f t="shared" si="9"/>
        <v>0.7985607556033083</v>
      </c>
      <c r="G48" s="6">
        <f t="shared" si="5"/>
        <v>3.8937953054696273E-4</v>
      </c>
      <c r="H48" s="6">
        <f t="shared" si="6"/>
        <v>4.3349660325573414E-3</v>
      </c>
      <c r="I48" s="1">
        <f t="shared" si="7"/>
        <v>3.8937953054696273E-4</v>
      </c>
    </row>
    <row r="49" spans="1:9">
      <c r="A49" s="4">
        <f t="shared" si="2"/>
        <v>1993</v>
      </c>
      <c r="B49" s="7">
        <f t="shared" si="8"/>
        <v>2.485579766837577</v>
      </c>
      <c r="C49" s="6">
        <f t="shared" si="0"/>
        <v>7.2350181522786688E-2</v>
      </c>
      <c r="D49" s="8">
        <f t="shared" si="3"/>
        <v>0.88448147280710965</v>
      </c>
      <c r="E49" s="8">
        <f t="shared" si="4"/>
        <v>0.81213129128432293</v>
      </c>
      <c r="F49" s="6">
        <f t="shared" si="9"/>
        <v>0.7985607556033083</v>
      </c>
      <c r="G49" s="6">
        <f t="shared" si="5"/>
        <v>3.7904777194985861E-4</v>
      </c>
      <c r="H49" s="6">
        <f t="shared" si="6"/>
        <v>4.2197219656578966E-3</v>
      </c>
      <c r="I49" s="1">
        <f t="shared" si="7"/>
        <v>3.7904777194985861E-4</v>
      </c>
    </row>
    <row r="50" spans="1:9">
      <c r="A50" s="4">
        <f t="shared" si="2"/>
        <v>1994</v>
      </c>
      <c r="B50" s="7">
        <f t="shared" si="8"/>
        <v>2.4957904541894242</v>
      </c>
      <c r="C50" s="6">
        <f t="shared" si="0"/>
        <v>7.2376880770073385E-2</v>
      </c>
      <c r="D50" s="8">
        <f t="shared" si="3"/>
        <v>0.88480787129106564</v>
      </c>
      <c r="E50" s="8">
        <f t="shared" si="4"/>
        <v>0.81243099052099221</v>
      </c>
      <c r="F50" s="6">
        <f t="shared" si="9"/>
        <v>0.7985607556033083</v>
      </c>
      <c r="G50" s="6">
        <f t="shared" si="5"/>
        <v>3.6902806219352158E-4</v>
      </c>
      <c r="H50" s="6">
        <f t="shared" si="6"/>
        <v>4.1079700953787768E-3</v>
      </c>
      <c r="I50" s="1">
        <f t="shared" si="7"/>
        <v>3.6902806219352158E-4</v>
      </c>
    </row>
    <row r="51" spans="1:9">
      <c r="A51" s="4">
        <f t="shared" si="2"/>
        <v>1995</v>
      </c>
      <c r="B51" s="7">
        <f t="shared" si="8"/>
        <v>2.5057725736047622</v>
      </c>
      <c r="C51" s="6">
        <f t="shared" si="0"/>
        <v>7.2402886435470701E-2</v>
      </c>
      <c r="D51" s="8">
        <f t="shared" si="3"/>
        <v>0.88512579073159536</v>
      </c>
      <c r="E51" s="8">
        <f t="shared" si="4"/>
        <v>0.8127229042961247</v>
      </c>
      <c r="F51" s="6">
        <f t="shared" si="9"/>
        <v>0.7985607556033083</v>
      </c>
      <c r="G51" s="6">
        <f t="shared" si="5"/>
        <v>3.5930901028913276E-4</v>
      </c>
      <c r="H51" s="6">
        <f t="shared" si="6"/>
        <v>3.9995823361620442E-3</v>
      </c>
      <c r="I51" s="1">
        <f t="shared" si="7"/>
        <v>3.5930901028913276E-4</v>
      </c>
    </row>
    <row r="52" spans="1:9">
      <c r="A52" s="4">
        <f t="shared" si="2"/>
        <v>1996</v>
      </c>
      <c r="B52" s="7">
        <f t="shared" si="8"/>
        <v>2.5155311457001139</v>
      </c>
      <c r="C52" s="6">
        <f t="shared" si="0"/>
        <v>7.2428218738850775E-2</v>
      </c>
      <c r="D52" s="8">
        <f t="shared" si="3"/>
        <v>0.88543547831677649</v>
      </c>
      <c r="E52" s="8">
        <f t="shared" si="4"/>
        <v>0.81300725957792574</v>
      </c>
      <c r="F52" s="6">
        <f t="shared" si="9"/>
        <v>0.7985607556033083</v>
      </c>
      <c r="G52" s="6">
        <f t="shared" si="5"/>
        <v>3.4987974412681311E-4</v>
      </c>
      <c r="H52" s="6">
        <f t="shared" si="6"/>
        <v>3.8944364696724687E-3</v>
      </c>
      <c r="I52" s="1">
        <f t="shared" si="7"/>
        <v>3.4987974412659106E-4</v>
      </c>
    </row>
    <row r="53" spans="1:9">
      <c r="A53" s="4">
        <f t="shared" si="2"/>
        <v>1997</v>
      </c>
      <c r="B53" s="7">
        <f t="shared" si="8"/>
        <v>2.525071085796462</v>
      </c>
      <c r="C53" s="6">
        <f t="shared" si="0"/>
        <v>7.2452897197227806E-2</v>
      </c>
      <c r="D53" s="8">
        <f t="shared" si="3"/>
        <v>0.88573717264224339</v>
      </c>
      <c r="E53" s="8">
        <f t="shared" si="4"/>
        <v>0.81328427544501558</v>
      </c>
      <c r="F53" s="6">
        <f t="shared" si="9"/>
        <v>0.7985607556033083</v>
      </c>
      <c r="G53" s="6">
        <f t="shared" si="5"/>
        <v>3.4072988134647986E-4</v>
      </c>
      <c r="H53" s="6">
        <f t="shared" si="6"/>
        <v>3.7924158135171915E-3</v>
      </c>
      <c r="I53" s="1">
        <f t="shared" si="7"/>
        <v>3.4072988134647986E-4</v>
      </c>
    </row>
    <row r="54" spans="1:9">
      <c r="A54" s="4">
        <f t="shared" si="2"/>
        <v>1998</v>
      </c>
      <c r="B54" s="7">
        <f t="shared" si="8"/>
        <v>2.5343972058487783</v>
      </c>
      <c r="C54" s="6">
        <f t="shared" si="0"/>
        <v>7.2476940655092414E-2</v>
      </c>
      <c r="D54" s="8">
        <f t="shared" si="3"/>
        <v>0.88603110408202512</v>
      </c>
      <c r="E54" s="8">
        <f t="shared" si="4"/>
        <v>0.81355416342693276</v>
      </c>
      <c r="F54" s="6">
        <f t="shared" si="9"/>
        <v>0.7985607556033083</v>
      </c>
      <c r="G54" s="6">
        <f t="shared" si="5"/>
        <v>3.3184950215536801E-4</v>
      </c>
      <c r="H54" s="6">
        <f t="shared" si="6"/>
        <v>3.6934089122384606E-3</v>
      </c>
      <c r="I54" s="1">
        <f t="shared" si="7"/>
        <v>3.3184950215536801E-4</v>
      </c>
    </row>
    <row r="55" spans="1:9">
      <c r="A55" s="4">
        <f t="shared" si="2"/>
        <v>1999</v>
      </c>
      <c r="B55" s="7">
        <f t="shared" si="8"/>
        <v>2.5435142163576514</v>
      </c>
      <c r="C55" s="6">
        <f t="shared" si="0"/>
        <v>7.2500367313126257E-2</v>
      </c>
      <c r="D55" s="8">
        <f t="shared" si="3"/>
        <v>0.88631749513958169</v>
      </c>
      <c r="E55" s="8">
        <f t="shared" si="4"/>
        <v>0.81381712782645543</v>
      </c>
      <c r="F55" s="6">
        <f t="shared" si="9"/>
        <v>0.7985607556033083</v>
      </c>
      <c r="G55" s="6">
        <f t="shared" si="5"/>
        <v>3.2322912394056047E-4</v>
      </c>
      <c r="H55" s="6">
        <f t="shared" si="6"/>
        <v>3.5973092488554848E-3</v>
      </c>
      <c r="I55" s="1">
        <f t="shared" si="7"/>
        <v>3.2322912394056047E-4</v>
      </c>
    </row>
    <row r="56" spans="1:9">
      <c r="A56" s="4">
        <f t="shared" si="2"/>
        <v>2000</v>
      </c>
      <c r="B56" s="7">
        <f t="shared" si="8"/>
        <v>2.5524267282618363</v>
      </c>
      <c r="C56" s="6">
        <f t="shared" si="0"/>
        <v>7.2523194755400422E-2</v>
      </c>
      <c r="D56" s="8">
        <f t="shared" si="3"/>
        <v>0.88659656078030458</v>
      </c>
      <c r="E56" s="8">
        <f t="shared" si="4"/>
        <v>0.81407336602490421</v>
      </c>
      <c r="F56" s="6">
        <f t="shared" si="9"/>
        <v>0.7985607556033083</v>
      </c>
      <c r="G56" s="6">
        <f t="shared" si="5"/>
        <v>3.148596775457424E-4</v>
      </c>
      <c r="H56" s="6">
        <f t="shared" si="6"/>
        <v>3.5040149753704508E-3</v>
      </c>
      <c r="I56" s="1">
        <f t="shared" si="7"/>
        <v>3.148596775457424E-4</v>
      </c>
    </row>
    <row r="57" spans="1:9">
      <c r="A57" s="4">
        <f t="shared" si="2"/>
        <v>2001</v>
      </c>
      <c r="B57" s="7">
        <f t="shared" si="8"/>
        <v>2.561139254810691</v>
      </c>
      <c r="C57" s="6">
        <f t="shared" si="0"/>
        <v>7.2545439975153614E-2</v>
      </c>
      <c r="D57" s="8">
        <f t="shared" si="3"/>
        <v>0.88686850874665524</v>
      </c>
      <c r="E57" s="8">
        <f t="shared" si="4"/>
        <v>0.81432306877150162</v>
      </c>
      <c r="F57" s="6">
        <f t="shared" si="9"/>
        <v>0.7985607556033083</v>
      </c>
      <c r="G57" s="6">
        <f t="shared" si="5"/>
        <v>3.0673248507895323E-4</v>
      </c>
      <c r="H57" s="6">
        <f t="shared" si="6"/>
        <v>3.4134286608054065E-3</v>
      </c>
      <c r="I57" s="1">
        <f t="shared" si="7"/>
        <v>3.0673248507895323E-4</v>
      </c>
    </row>
    <row r="58" spans="1:9">
      <c r="A58" s="4">
        <f t="shared" si="2"/>
        <v>2002</v>
      </c>
      <c r="B58" s="7">
        <f t="shared" si="8"/>
        <v>2.5696562134155774</v>
      </c>
      <c r="C58" s="6">
        <f t="shared" si="0"/>
        <v>7.2567119399239058E-2</v>
      </c>
      <c r="D58" s="8">
        <f t="shared" si="3"/>
        <v>0.88713353985702859</v>
      </c>
      <c r="E58" s="8">
        <f t="shared" si="4"/>
        <v>0.81456642045778949</v>
      </c>
      <c r="F58" s="6">
        <f t="shared" si="9"/>
        <v>0.7985607556033083</v>
      </c>
      <c r="G58" s="6">
        <f t="shared" si="5"/>
        <v>2.988392391425343E-4</v>
      </c>
      <c r="H58" s="6">
        <f t="shared" si="6"/>
        <v>3.325457055444625E-3</v>
      </c>
      <c r="I58" s="1">
        <f t="shared" si="7"/>
        <v>2.9883923914275634E-4</v>
      </c>
    </row>
    <row r="59" spans="1:9">
      <c r="A59" s="4">
        <f t="shared" si="2"/>
        <v>2003</v>
      </c>
      <c r="B59" s="7">
        <f t="shared" si="8"/>
        <v>2.5779819274794269</v>
      </c>
      <c r="C59" s="6">
        <f t="shared" si="0"/>
        <v>7.2588248911322484E-2</v>
      </c>
      <c r="D59" s="8">
        <f t="shared" si="3"/>
        <v>0.88739184828934892</v>
      </c>
      <c r="E59" s="8">
        <f t="shared" si="4"/>
        <v>0.81480359937802649</v>
      </c>
      <c r="F59" s="6">
        <f t="shared" si="9"/>
        <v>0.7985607556033083</v>
      </c>
      <c r="G59" s="6">
        <f t="shared" si="5"/>
        <v>2.9117198337691441E-4</v>
      </c>
      <c r="H59" s="6">
        <f t="shared" si="6"/>
        <v>3.24001087008563E-3</v>
      </c>
      <c r="I59" s="1">
        <f t="shared" si="7"/>
        <v>2.9117198337691441E-4</v>
      </c>
    </row>
    <row r="60" spans="1:9">
      <c r="A60" s="4">
        <f t="shared" si="2"/>
        <v>2004</v>
      </c>
      <c r="B60" s="7">
        <f t="shared" si="8"/>
        <v>2.5861206282037634</v>
      </c>
      <c r="C60" s="6">
        <f t="shared" si="0"/>
        <v>7.260884387390798E-2</v>
      </c>
      <c r="D60" s="8">
        <f t="shared" si="3"/>
        <v>0.88764362185033574</v>
      </c>
      <c r="E60" s="8">
        <f t="shared" si="4"/>
        <v>0.81503477797642776</v>
      </c>
      <c r="F60" s="6">
        <f t="shared" si="9"/>
        <v>0.7985607556033083</v>
      </c>
      <c r="G60" s="6">
        <f t="shared" si="5"/>
        <v>2.837230942251967E-4</v>
      </c>
      <c r="H60" s="6">
        <f t="shared" si="6"/>
        <v>3.1570045691879933E-3</v>
      </c>
      <c r="I60" s="1">
        <f t="shared" si="7"/>
        <v>2.8372309422497466E-4</v>
      </c>
    </row>
    <row r="61" spans="1:9">
      <c r="A61" s="4">
        <f t="shared" si="2"/>
        <v>2005</v>
      </c>
      <c r="B61" s="7">
        <f t="shared" si="8"/>
        <v>2.5940764563725773</v>
      </c>
      <c r="C61" s="6">
        <f t="shared" si="0"/>
        <v>7.2628919149262491E-2</v>
      </c>
      <c r="D61" s="8">
        <f t="shared" si="3"/>
        <v>0.8878890422313056</v>
      </c>
      <c r="E61" s="8">
        <f t="shared" si="4"/>
        <v>0.8152601230820431</v>
      </c>
      <c r="F61" s="6">
        <f t="shared" si="9"/>
        <v>0.7985607556033083</v>
      </c>
      <c r="G61" s="6">
        <f t="shared" si="5"/>
        <v>2.7648526382506589E-4</v>
      </c>
      <c r="H61" s="6">
        <f t="shared" si="6"/>
        <v>3.0763561769118208E-3</v>
      </c>
      <c r="I61" s="1">
        <f t="shared" si="7"/>
        <v>2.7648526382506589E-4</v>
      </c>
    </row>
    <row r="62" spans="1:9">
      <c r="A62" s="4">
        <f t="shared" si="2"/>
        <v>2006</v>
      </c>
      <c r="B62" s="7">
        <f t="shared" si="8"/>
        <v>2.601853464112525</v>
      </c>
      <c r="C62" s="6">
        <f t="shared" si="0"/>
        <v>7.2648489119305007E-2</v>
      </c>
      <c r="D62" s="8">
        <f t="shared" si="3"/>
        <v>0.88812828525131859</v>
      </c>
      <c r="E62" s="8">
        <f t="shared" si="4"/>
        <v>0.8154797961320136</v>
      </c>
      <c r="F62" s="6">
        <f t="shared" si="9"/>
        <v>0.7985607556033083</v>
      </c>
      <c r="G62" s="6">
        <f t="shared" si="5"/>
        <v>2.6945148395096652E-4</v>
      </c>
      <c r="H62" s="6">
        <f t="shared" si="6"/>
        <v>2.9979870951153398E-3</v>
      </c>
      <c r="I62" s="1">
        <f t="shared" si="7"/>
        <v>2.6945148395096652E-4</v>
      </c>
    </row>
    <row r="63" spans="1:9">
      <c r="A63" s="4">
        <f t="shared" si="2"/>
        <v>2007</v>
      </c>
      <c r="B63" s="7">
        <f t="shared" si="8"/>
        <v>2.6094556166290168</v>
      </c>
      <c r="C63" s="6">
        <f t="shared" si="0"/>
        <v>7.2667567704522457E-2</v>
      </c>
      <c r="D63" s="8">
        <f t="shared" si="3"/>
        <v>0.88836152108842414</v>
      </c>
      <c r="E63" s="8">
        <f t="shared" si="4"/>
        <v>0.81569395338390172</v>
      </c>
      <c r="F63" s="6">
        <f t="shared" si="9"/>
        <v>0.7985607556033083</v>
      </c>
      <c r="G63" s="6">
        <f t="shared" si="5"/>
        <v>2.6261503093505389E-4</v>
      </c>
      <c r="H63" s="6">
        <f>B63/B62-1</f>
        <v>2.9218219324602668E-3</v>
      </c>
      <c r="I63" s="1">
        <f t="shared" si="7"/>
        <v>2.6261503093505389E-4</v>
      </c>
    </row>
    <row r="64" spans="1:9">
      <c r="A64" s="4">
        <f t="shared" si="2"/>
        <v>2008</v>
      </c>
      <c r="B64" s="7">
        <f t="shared" si="8"/>
        <v>2.6168867939178138</v>
      </c>
      <c r="C64" s="6">
        <f t="shared" si="0"/>
        <v>7.268616838196873E-2</v>
      </c>
      <c r="D64" s="8">
        <f t="shared" si="3"/>
        <v>0.8885889144996999</v>
      </c>
      <c r="E64" s="8">
        <f t="shared" si="4"/>
        <v>0.81590274611773117</v>
      </c>
      <c r="F64" s="6">
        <f t="shared" si="9"/>
        <v>0.7985607556033083</v>
      </c>
      <c r="G64" s="6">
        <f t="shared" si="5"/>
        <v>2.559694514876476E-4</v>
      </c>
      <c r="H64" s="6">
        <f t="shared" si="6"/>
        <v>2.8477883438373652E-3</v>
      </c>
      <c r="I64" s="1">
        <f t="shared" si="7"/>
        <v>2.559694514876476E-4</v>
      </c>
    </row>
    <row r="65" spans="1:9">
      <c r="A65" s="4">
        <f t="shared" si="2"/>
        <v>2009</v>
      </c>
      <c r="B65" s="7">
        <f t="shared" si="8"/>
        <v>2.6241507924518372</v>
      </c>
      <c r="C65" s="6">
        <f t="shared" si="0"/>
        <v>7.2704304202400732E-2</v>
      </c>
      <c r="D65" s="8">
        <f t="shared" si="3"/>
        <v>0.88881062503074004</v>
      </c>
      <c r="E65" s="8">
        <f t="shared" si="4"/>
        <v>0.81610632082833934</v>
      </c>
      <c r="F65" s="6">
        <f t="shared" si="9"/>
        <v>0.7985607556033083</v>
      </c>
      <c r="G65" s="6">
        <f t="shared" si="5"/>
        <v>2.4950854936678368E-4</v>
      </c>
      <c r="H65" s="6">
        <f t="shared" si="6"/>
        <v>2.7758168793952098E-3</v>
      </c>
      <c r="I65" s="1">
        <f t="shared" si="7"/>
        <v>2.4950854936656164E-4</v>
      </c>
    </row>
    <row r="66" spans="1:9">
      <c r="A66" s="4">
        <f t="shared" si="2"/>
        <v>2010</v>
      </c>
      <c r="B66" s="7">
        <f t="shared" si="8"/>
        <v>2.6312513268429423</v>
      </c>
      <c r="C66" s="6">
        <f t="shared" si="0"/>
        <v>7.2721987806601107E-2</v>
      </c>
      <c r="D66" s="8">
        <f t="shared" si="3"/>
        <v>0.88902680721520011</v>
      </c>
      <c r="E66" s="8">
        <f t="shared" si="4"/>
        <v>0.816304819408599</v>
      </c>
      <c r="F66" s="6">
        <f t="shared" si="9"/>
        <v>0.7985607556033083</v>
      </c>
      <c r="G66" s="6">
        <f t="shared" si="5"/>
        <v>2.4322637283114013E-4</v>
      </c>
      <c r="H66" s="6">
        <f t="shared" si="6"/>
        <v>2.7058408425038039E-3</v>
      </c>
      <c r="I66" s="1">
        <f t="shared" si="7"/>
        <v>2.4322637283136217E-4</v>
      </c>
    </row>
    <row r="67" spans="1:9">
      <c r="A67" s="4">
        <f t="shared" si="2"/>
        <v>2011</v>
      </c>
      <c r="B67" s="7">
        <f t="shared" si="8"/>
        <v>2.6381920314784697</v>
      </c>
      <c r="C67" s="6">
        <f t="shared" si="0"/>
        <v>7.2739231440933555E-2</v>
      </c>
      <c r="D67" s="8">
        <f t="shared" si="3"/>
        <v>0.88923761076496188</v>
      </c>
      <c r="E67" s="8">
        <f t="shared" si="4"/>
        <v>0.81649837932402836</v>
      </c>
      <c r="F67" s="6">
        <f t="shared" si="9"/>
        <v>0.7985607556033083</v>
      </c>
      <c r="G67" s="6">
        <f t="shared" si="5"/>
        <v>2.3711720282326709E-4</v>
      </c>
      <c r="H67" s="6">
        <f t="shared" si="6"/>
        <v>2.6377961560422047E-3</v>
      </c>
      <c r="I67" s="1">
        <f t="shared" si="7"/>
        <v>2.3711720282326709E-4</v>
      </c>
    </row>
    <row r="68" spans="1:9">
      <c r="A68" s="4">
        <f t="shared" si="2"/>
        <v>2012</v>
      </c>
      <c r="B68" s="7">
        <f t="shared" si="8"/>
        <v>2.6449764621324414</v>
      </c>
      <c r="C68" s="6">
        <f t="shared" si="0"/>
        <v>7.2756046972174804E-2</v>
      </c>
      <c r="D68" s="8">
        <f t="shared" si="3"/>
        <v>0.88944318075145334</v>
      </c>
      <c r="E68" s="8">
        <f t="shared" si="4"/>
        <v>0.81668713377927848</v>
      </c>
      <c r="F68" s="6">
        <f t="shared" si="9"/>
        <v>0.7985607556033083</v>
      </c>
      <c r="G68" s="6">
        <f t="shared" si="5"/>
        <v>2.3117554183826883E-4</v>
      </c>
      <c r="H68" s="6">
        <f t="shared" si="6"/>
        <v>2.5716212364457203E-3</v>
      </c>
      <c r="I68" s="1">
        <f t="shared" si="7"/>
        <v>2.3117554183804678E-4</v>
      </c>
    </row>
    <row r="69" spans="1:9">
      <c r="A69" s="4">
        <f t="shared" si="2"/>
        <v>2013</v>
      </c>
      <c r="B69" s="7">
        <f t="shared" si="8"/>
        <v>2.6516080975513048</v>
      </c>
      <c r="C69" s="6">
        <f t="shared" si="0"/>
        <v>7.2772445901662874E-2</v>
      </c>
      <c r="D69" s="8">
        <f t="shared" si="3"/>
        <v>0.88964365777861198</v>
      </c>
      <c r="E69" s="8">
        <f t="shared" si="4"/>
        <v>0.81687121187694911</v>
      </c>
      <c r="F69" s="6">
        <f t="shared" si="9"/>
        <v>0.7985607556033083</v>
      </c>
      <c r="G69" s="6">
        <f t="shared" si="5"/>
        <v>2.2539610342420247E-4</v>
      </c>
      <c r="H69" s="6">
        <f t="shared" si="6"/>
        <v>2.5072568749882063E-3</v>
      </c>
      <c r="I69" s="1">
        <f t="shared" si="7"/>
        <v>2.2539610342420247E-4</v>
      </c>
    </row>
    <row r="70" spans="1:9">
      <c r="A70" s="4">
        <f t="shared" si="2"/>
        <v>2014</v>
      </c>
      <c r="B70" s="7">
        <f t="shared" si="8"/>
        <v>2.658090341014185</v>
      </c>
      <c r="C70" s="6">
        <f t="shared" si="0"/>
        <v>7.278843937880014E-2</v>
      </c>
      <c r="D70" s="8">
        <f t="shared" si="3"/>
        <v>0.88983917814795921</v>
      </c>
      <c r="E70" s="8">
        <f t="shared" si="4"/>
        <v>0.81705073876915901</v>
      </c>
      <c r="F70" s="6">
        <f t="shared" si="9"/>
        <v>0.7985607556033083</v>
      </c>
      <c r="G70" s="6">
        <f t="shared" si="5"/>
        <v>2.1977380228332954E-4</v>
      </c>
      <c r="H70" s="6">
        <f t="shared" si="6"/>
        <v>2.44464612582318E-3</v>
      </c>
      <c r="I70" s="1">
        <f t="shared" si="7"/>
        <v>2.1977380228332954E-4</v>
      </c>
    </row>
    <row r="71" spans="1:9">
      <c r="A71" s="4">
        <f t="shared" si="2"/>
        <v>2015</v>
      </c>
      <c r="B71" s="7">
        <f t="shared" si="8"/>
        <v>2.6644265218676302</v>
      </c>
      <c r="C71" s="6">
        <f t="shared" si="0"/>
        <v>7.2804038213946168E-2</v>
      </c>
      <c r="D71" s="8">
        <f t="shared" si="3"/>
        <v>0.89002987401621614</v>
      </c>
      <c r="E71" s="8">
        <f t="shared" si="4"/>
        <v>0.81722583580226993</v>
      </c>
      <c r="F71" s="6">
        <f t="shared" si="9"/>
        <v>0.7985607556033083</v>
      </c>
      <c r="G71" s="6">
        <f t="shared" si="5"/>
        <v>2.1430374492359405E-4</v>
      </c>
      <c r="H71" s="6">
        <f t="shared" si="6"/>
        <v>2.3837342003310003E-3</v>
      </c>
      <c r="I71" s="1">
        <f t="shared" si="7"/>
        <v>2.1430374492359405E-4</v>
      </c>
    </row>
    <row r="72" spans="1:9">
      <c r="A72" s="4">
        <f t="shared" si="2"/>
        <v>2016</v>
      </c>
      <c r="B72" s="7">
        <f t="shared" si="8"/>
        <v>2.6706198970348858</v>
      </c>
      <c r="C72" s="6">
        <f t="shared" si="0"/>
        <v>7.2819252890733571E-2</v>
      </c>
      <c r="D72" s="8">
        <f t="shared" si="3"/>
        <v>0.89021587354586429</v>
      </c>
      <c r="E72" s="8">
        <f t="shared" si="4"/>
        <v>0.81739662065513075</v>
      </c>
      <c r="F72" s="6">
        <f t="shared" si="9"/>
        <v>0.7985607556033083</v>
      </c>
      <c r="G72" s="6">
        <f t="shared" si="5"/>
        <v>2.0898122083123916E-4</v>
      </c>
      <c r="H72" s="6">
        <f t="shared" si="6"/>
        <v>2.3244683673673272E-3</v>
      </c>
      <c r="I72" s="1">
        <f t="shared" si="7"/>
        <v>2.089812208314612E-4</v>
      </c>
    </row>
    <row r="73" spans="1:9">
      <c r="A73" s="4">
        <f t="shared" si="2"/>
        <v>2017</v>
      </c>
      <c r="B73" s="7">
        <f t="shared" si="8"/>
        <v>2.6766736524997472</v>
      </c>
      <c r="C73" s="6">
        <f t="shared" si="0"/>
        <v>7.2834093577837877E-2</v>
      </c>
      <c r="D73" s="8">
        <f t="shared" si="3"/>
        <v>0.89039730104903314</v>
      </c>
      <c r="E73" s="8">
        <f t="shared" si="4"/>
        <v>0.81756320747119526</v>
      </c>
      <c r="F73" s="6">
        <f t="shared" si="9"/>
        <v>0.7985607556033083</v>
      </c>
      <c r="G73" s="6">
        <f t="shared" si="5"/>
        <v>2.0380169412859139E-4</v>
      </c>
      <c r="H73" s="6">
        <f t="shared" si="6"/>
        <v>2.2667978590225069E-3</v>
      </c>
      <c r="I73" s="1">
        <f t="shared" si="7"/>
        <v>2.0380169412859139E-4</v>
      </c>
    </row>
    <row r="74" spans="1:9">
      <c r="A74" s="4">
        <f t="shared" si="2"/>
        <v>2018</v>
      </c>
      <c r="B74" s="7">
        <f t="shared" si="8"/>
        <v>2.6825909047650911</v>
      </c>
      <c r="C74" s="6">
        <f t="shared" si="0"/>
        <v>7.2848570140230731E-2</v>
      </c>
      <c r="D74" s="8">
        <f t="shared" si="3"/>
        <v>0.89057427712506942</v>
      </c>
      <c r="E74" s="8">
        <f t="shared" si="4"/>
        <v>0.81772570698483871</v>
      </c>
      <c r="F74" s="6">
        <f t="shared" si="9"/>
        <v>0.7985607556033083</v>
      </c>
      <c r="G74" s="6">
        <f t="shared" si="5"/>
        <v>1.987607956894788E-4</v>
      </c>
      <c r="H74" s="6">
        <f t="shared" si="6"/>
        <v>2.210673781548822E-3</v>
      </c>
      <c r="I74" s="1">
        <f t="shared" si="7"/>
        <v>1.987607956894788E-4</v>
      </c>
    </row>
    <row r="75" spans="1:9">
      <c r="A75" s="4">
        <f t="shared" si="2"/>
        <v>2019</v>
      </c>
      <c r="B75" s="7">
        <f t="shared" si="8"/>
        <v>2.6883747022861946</v>
      </c>
      <c r="C75" s="6">
        <f t="shared" si="0"/>
        <v>7.2862692149943231E-2</v>
      </c>
      <c r="D75" s="8">
        <f t="shared" si="3"/>
        <v>0.89074691879211998</v>
      </c>
      <c r="E75" s="8">
        <f t="shared" si="4"/>
        <v>0.81788422664217675</v>
      </c>
      <c r="F75" s="6">
        <f t="shared" si="9"/>
        <v>0.7985607556033083</v>
      </c>
      <c r="G75" s="6">
        <f t="shared" si="5"/>
        <v>1.9385431567586764E-4</v>
      </c>
      <c r="H75" s="6">
        <f t="shared" si="6"/>
        <v>2.1560490311174352E-3</v>
      </c>
      <c r="I75" s="1">
        <f t="shared" si="7"/>
        <v>1.9385431567586764E-4</v>
      </c>
    </row>
    <row r="76" spans="1:9">
      <c r="A76" s="4">
        <f t="shared" si="2"/>
        <v>2020</v>
      </c>
      <c r="B76" s="7">
        <f t="shared" si="8"/>
        <v>2.6940280268789829</v>
      </c>
      <c r="C76" s="6">
        <f t="shared" si="0"/>
        <v>7.2876468896365482E-2</v>
      </c>
      <c r="D76" s="8">
        <f t="shared" si="3"/>
        <v>0.89091533961304359</v>
      </c>
      <c r="E76" s="8">
        <f t="shared" si="4"/>
        <v>0.81803887071667813</v>
      </c>
      <c r="F76" s="6">
        <f t="shared" si="9"/>
        <v>0.7985607556033083</v>
      </c>
      <c r="G76" s="6">
        <f t="shared" si="5"/>
        <v>1.8907819647817625E-4</v>
      </c>
      <c r="H76" s="6">
        <f t="shared" si="6"/>
        <v>2.1028782141048197E-3</v>
      </c>
      <c r="I76" s="1">
        <f t="shared" si="7"/>
        <v>1.8907819647817625E-4</v>
      </c>
    </row>
    <row r="77" spans="1:9">
      <c r="A77" s="4">
        <f t="shared" si="2"/>
        <v>2021</v>
      </c>
      <c r="B77" s="7">
        <f t="shared" si="8"/>
        <v>2.6995537951033741</v>
      </c>
      <c r="C77" s="6">
        <f t="shared" si="0"/>
        <v>7.2889909396106109E-2</v>
      </c>
      <c r="D77" s="8">
        <f t="shared" si="3"/>
        <v>0.89107964981594356</v>
      </c>
      <c r="E77" s="8">
        <f t="shared" si="4"/>
        <v>0.8181897404198375</v>
      </c>
      <c r="F77" s="6">
        <f t="shared" si="9"/>
        <v>0.7985607556033083</v>
      </c>
      <c r="G77" s="6">
        <f t="shared" si="5"/>
        <v>1.8442852602729154E-4</v>
      </c>
      <c r="H77" s="6">
        <f t="shared" si="6"/>
        <v>2.051117571628458E-3</v>
      </c>
      <c r="I77" s="1">
        <f t="shared" si="7"/>
        <v>1.8442852602729154E-4</v>
      </c>
    </row>
    <row r="78" spans="1:9">
      <c r="A78" s="4">
        <f t="shared" si="2"/>
        <v>2022</v>
      </c>
      <c r="B78" s="7">
        <f t="shared" si="8"/>
        <v>2.7049548596218957</v>
      </c>
      <c r="C78" s="6">
        <f t="shared" si="0"/>
        <v>7.2903022402434445E-2</v>
      </c>
      <c r="D78" s="8">
        <f t="shared" si="3"/>
        <v>0.89123995640959819</v>
      </c>
      <c r="E78" s="8">
        <f t="shared" si="4"/>
        <v>0.81833693400716379</v>
      </c>
      <c r="F78" s="6">
        <f t="shared" si="9"/>
        <v>0.7985607556033083</v>
      </c>
      <c r="G78" s="6">
        <f t="shared" si="5"/>
        <v>1.7990153145985843E-4</v>
      </c>
      <c r="H78" s="6">
        <f t="shared" si="6"/>
        <v>2.0007249080638001E-3</v>
      </c>
      <c r="I78" s="1">
        <f t="shared" si="7"/>
        <v>1.7990153145985843E-4</v>
      </c>
    </row>
    <row r="79" spans="1:9">
      <c r="A79" s="4">
        <f t="shared" si="2"/>
        <v>2023</v>
      </c>
      <c r="B79" s="7">
        <f t="shared" si="8"/>
        <v>2.7102340105337825</v>
      </c>
      <c r="C79" s="6">
        <f t="shared" si="0"/>
        <v>7.291581641432647E-2</v>
      </c>
      <c r="D79" s="8">
        <f t="shared" si="3"/>
        <v>0.89139636329404814</v>
      </c>
      <c r="E79" s="8">
        <f t="shared" si="4"/>
        <v>0.81848054687972172</v>
      </c>
      <c r="F79" s="6">
        <f t="shared" si="9"/>
        <v>0.7985607556033083</v>
      </c>
      <c r="G79" s="6">
        <f t="shared" si="5"/>
        <v>1.754935731113072E-4</v>
      </c>
      <c r="H79" s="6">
        <f t="shared" si="6"/>
        <v>1.9516595233033396E-3</v>
      </c>
      <c r="I79" s="1">
        <f t="shared" si="7"/>
        <v>1.7549357311152924E-4</v>
      </c>
    </row>
    <row r="80" spans="1:9">
      <c r="A80" s="4">
        <f t="shared" si="2"/>
        <v>2024</v>
      </c>
      <c r="B80" s="7">
        <f t="shared" si="8"/>
        <v>2.7153939766847643</v>
      </c>
      <c r="C80" s="6">
        <f t="shared" si="0"/>
        <v>7.2928299685134812E-2</v>
      </c>
      <c r="D80" s="8">
        <f t="shared" si="3"/>
        <v>0.89154897136658684</v>
      </c>
      <c r="E80" s="8">
        <f t="shared" si="4"/>
        <v>0.81862067168145203</v>
      </c>
      <c r="F80" s="6">
        <f t="shared" si="9"/>
        <v>0.7985607556033083</v>
      </c>
      <c r="G80" s="6">
        <f t="shared" si="5"/>
        <v>1.7120113882307386E-4</v>
      </c>
      <c r="H80" s="6">
        <f t="shared" si="6"/>
        <v>1.9038821485255486E-3</v>
      </c>
      <c r="I80" s="1">
        <f t="shared" si="7"/>
        <v>1.7120113882307386E-4</v>
      </c>
    </row>
    <row r="81" spans="1:9">
      <c r="A81" s="4">
        <f t="shared" si="2"/>
        <v>2025</v>
      </c>
      <c r="B81" s="7">
        <f t="shared" si="8"/>
        <v>2.7204374269527802</v>
      </c>
      <c r="C81" s="6">
        <f t="shared" ref="C81:C90" si="10">$F$11*D81</f>
        <v>7.294048023090112E-2</v>
      </c>
      <c r="D81" s="8">
        <f t="shared" si="3"/>
        <v>0.89169787862337901</v>
      </c>
      <c r="E81" s="8">
        <f t="shared" si="4"/>
        <v>0.81875739839247785</v>
      </c>
      <c r="F81" s="6">
        <f t="shared" si="9"/>
        <v>0.7985607556033083</v>
      </c>
      <c r="G81" s="6">
        <f t="shared" si="5"/>
        <v>1.670208385344818E-4</v>
      </c>
      <c r="H81" s="6">
        <f t="shared" si="6"/>
        <v>1.8573548852653943E-3</v>
      </c>
      <c r="I81" s="1">
        <f t="shared" si="7"/>
        <v>1.670208385344818E-4</v>
      </c>
    </row>
    <row r="82" spans="1:9">
      <c r="A82" s="4">
        <f t="shared" ref="A82:A90" si="11">A81+1</f>
        <v>2026</v>
      </c>
      <c r="B82" s="7">
        <f t="shared" si="8"/>
        <v>2.7253669715098621</v>
      </c>
      <c r="C82" s="6">
        <f t="shared" si="10"/>
        <v>7.2952365838328911E-2</v>
      </c>
      <c r="D82" s="8">
        <f t="shared" ref="D82:D90" si="12">$C$8*B82^(1-$C$7)*F81^($C$7)</f>
        <v>0.89184318025692966</v>
      </c>
      <c r="E82" s="8">
        <f t="shared" ref="E82:E91" si="13">D82-C82</f>
        <v>0.81889081441860079</v>
      </c>
      <c r="F82" s="6">
        <f t="shared" si="9"/>
        <v>0.7985607556033083</v>
      </c>
      <c r="G82" s="6">
        <f t="shared" ref="G82:G90" si="14">D82/D81-1</f>
        <v>1.6294939915639794E-4</v>
      </c>
      <c r="H82" s="6">
        <f t="shared" ref="H82:H90" si="15">B82/B81-1</f>
        <v>1.8120411475899267E-3</v>
      </c>
      <c r="I82" s="1">
        <f t="shared" ref="I82:I90" si="16">C82/C81-1</f>
        <v>1.629493991561759E-4</v>
      </c>
    </row>
    <row r="83" spans="1:9">
      <c r="A83" s="4">
        <f t="shared" si="11"/>
        <v>2027</v>
      </c>
      <c r="B83" s="7">
        <f t="shared" ref="B83:B90" si="17">(1-$C$4)*B82+C82</f>
        <v>2.7301851630604443</v>
      </c>
      <c r="C83" s="6">
        <f t="shared" si="10"/>
        <v>7.2963964072433454E-2</v>
      </c>
      <c r="D83" s="8">
        <f t="shared" si="12"/>
        <v>0.89198496874960276</v>
      </c>
      <c r="E83" s="8">
        <f t="shared" si="13"/>
        <v>0.81902100467716932</v>
      </c>
      <c r="F83" s="6">
        <f t="shared" si="9"/>
        <v>0.7985607556033083</v>
      </c>
      <c r="G83" s="6">
        <f t="shared" si="14"/>
        <v>1.5898365969713169E-4</v>
      </c>
      <c r="H83" s="6">
        <f t="shared" si="15"/>
        <v>1.767905607189757E-3</v>
      </c>
      <c r="I83" s="1">
        <f t="shared" si="16"/>
        <v>1.5898365969713169E-4</v>
      </c>
    </row>
    <row r="84" spans="1:9">
      <c r="A84" s="4">
        <f t="shared" si="11"/>
        <v>2028</v>
      </c>
      <c r="B84" s="7">
        <f t="shared" si="17"/>
        <v>2.7348944980563665</v>
      </c>
      <c r="C84" s="6">
        <f t="shared" si="10"/>
        <v>7.2975282283884071E-2</v>
      </c>
      <c r="D84" s="8">
        <f t="shared" si="12"/>
        <v>0.89212333396338239</v>
      </c>
      <c r="E84" s="8">
        <f t="shared" si="13"/>
        <v>0.81914805167949833</v>
      </c>
      <c r="F84" s="6">
        <f t="shared" si="9"/>
        <v>0.7985607556033083</v>
      </c>
      <c r="G84" s="6">
        <f t="shared" si="14"/>
        <v>1.5512056663191665E-4</v>
      </c>
      <c r="H84" s="6">
        <f t="shared" si="15"/>
        <v>1.7249141412236657E-3</v>
      </c>
      <c r="I84" s="1">
        <f t="shared" si="16"/>
        <v>1.551205666316946E-4</v>
      </c>
    </row>
    <row r="85" spans="1:9">
      <c r="A85" s="4">
        <f t="shared" si="11"/>
        <v>2029</v>
      </c>
      <c r="B85" s="7">
        <f t="shared" si="17"/>
        <v>2.7394974178888414</v>
      </c>
      <c r="C85" s="6">
        <f t="shared" si="10"/>
        <v>7.2986327616054503E-2</v>
      </c>
      <c r="D85" s="8">
        <f t="shared" si="12"/>
        <v>0.89225836322606178</v>
      </c>
      <c r="E85" s="8">
        <f t="shared" si="13"/>
        <v>0.81927203561000728</v>
      </c>
      <c r="F85" s="6">
        <f t="shared" si="9"/>
        <v>0.7985607556033083</v>
      </c>
      <c r="G85" s="6">
        <f t="shared" si="14"/>
        <v>1.5135716950642752E-4</v>
      </c>
      <c r="H85" s="6">
        <f t="shared" si="15"/>
        <v>1.6830337827460351E-3</v>
      </c>
      <c r="I85" s="1">
        <f t="shared" si="16"/>
        <v>1.5135716950664957E-4</v>
      </c>
    </row>
    <row r="86" spans="1:9">
      <c r="A86" s="4">
        <f t="shared" si="11"/>
        <v>2030</v>
      </c>
      <c r="B86" s="7">
        <f t="shared" si="17"/>
        <v>2.7439963100576747</v>
      </c>
      <c r="C86" s="6">
        <f t="shared" si="10"/>
        <v>7.2997107011794155E-2</v>
      </c>
      <c r="D86" s="8">
        <f t="shared" si="12"/>
        <v>0.89239014141402362</v>
      </c>
      <c r="E86" s="8">
        <f t="shared" si="13"/>
        <v>0.81939303440222944</v>
      </c>
      <c r="F86" s="6">
        <f t="shared" si="9"/>
        <v>0.7985607556033083</v>
      </c>
      <c r="G86" s="6">
        <f t="shared" si="14"/>
        <v>1.4769061674613226E-4</v>
      </c>
      <c r="H86" s="6">
        <f t="shared" si="15"/>
        <v>1.6422326735756609E-3</v>
      </c>
      <c r="I86" s="1">
        <f t="shared" si="16"/>
        <v>1.4769061674613226E-4</v>
      </c>
    </row>
    <row r="87" spans="1:9">
      <c r="A87" s="4">
        <f t="shared" si="11"/>
        <v>2031</v>
      </c>
      <c r="B87" s="7">
        <f t="shared" si="17"/>
        <v>2.748393509318027</v>
      </c>
      <c r="C87" s="6">
        <f t="shared" si="10"/>
        <v>7.3007627219934659E-2</v>
      </c>
      <c r="D87" s="8">
        <f t="shared" si="12"/>
        <v>0.89251875103178135</v>
      </c>
      <c r="E87" s="8">
        <f t="shared" si="13"/>
        <v>0.81951112381184665</v>
      </c>
      <c r="F87" s="6">
        <f t="shared" si="9"/>
        <v>0.7985607556033083</v>
      </c>
      <c r="G87" s="6">
        <f t="shared" si="14"/>
        <v>1.4411815167969522E-4</v>
      </c>
      <c r="H87" s="6">
        <f t="shared" si="15"/>
        <v>1.6024800194647248E-3</v>
      </c>
      <c r="I87" s="1">
        <f t="shared" si="16"/>
        <v>1.4411815167969522E-4</v>
      </c>
    </row>
    <row r="88" spans="1:9">
      <c r="A88" s="4">
        <f t="shared" si="11"/>
        <v>2032</v>
      </c>
      <c r="B88" s="7">
        <f t="shared" si="17"/>
        <v>2.752691298805011</v>
      </c>
      <c r="C88" s="6">
        <f t="shared" si="10"/>
        <v>7.3017894801543137E-2</v>
      </c>
      <c r="D88" s="8">
        <f t="shared" si="12"/>
        <v>0.89264427228842624</v>
      </c>
      <c r="E88" s="8">
        <f t="shared" si="13"/>
        <v>0.81962637748688305</v>
      </c>
      <c r="F88" s="6">
        <f t="shared" si="9"/>
        <v>0.7985607556033083</v>
      </c>
      <c r="G88" s="6">
        <f t="shared" si="14"/>
        <v>1.4063710874401281E-4</v>
      </c>
      <c r="H88" s="6">
        <f t="shared" si="15"/>
        <v>1.5637460474320353E-3</v>
      </c>
      <c r="I88" s="1">
        <f t="shared" si="16"/>
        <v>1.4063710874401281E-4</v>
      </c>
    </row>
    <row r="89" spans="1:9">
      <c r="A89" s="4">
        <f t="shared" si="11"/>
        <v>2033</v>
      </c>
      <c r="B89" s="7">
        <f t="shared" si="17"/>
        <v>2.756891911136429</v>
      </c>
      <c r="C89" s="6">
        <f t="shared" si="10"/>
        <v>7.3027916135934762E-2</v>
      </c>
      <c r="D89" s="8">
        <f t="shared" si="12"/>
        <v>0.89276678317113101</v>
      </c>
      <c r="E89" s="8">
        <f t="shared" si="13"/>
        <v>0.81973886703519627</v>
      </c>
      <c r="F89" s="6">
        <f t="shared" ref="F89:F90" si="18">F80</f>
        <v>0.7985607556033083</v>
      </c>
      <c r="G89" s="6">
        <f t="shared" si="14"/>
        <v>1.3724490987954141E-4</v>
      </c>
      <c r="H89" s="6">
        <f t="shared" si="15"/>
        <v>1.5260019651464063E-3</v>
      </c>
      <c r="I89" s="1">
        <f t="shared" si="16"/>
        <v>1.3724490987954141E-4</v>
      </c>
    </row>
    <row r="90" spans="1:9">
      <c r="A90" s="4">
        <f t="shared" si="11"/>
        <v>2034</v>
      </c>
      <c r="B90" s="7">
        <f t="shared" si="17"/>
        <v>2.7609975294939528</v>
      </c>
      <c r="C90" s="6">
        <f t="shared" si="10"/>
        <v>7.303769742645537E-2</v>
      </c>
      <c r="D90" s="8">
        <f t="shared" si="12"/>
        <v>0.89288635951584117</v>
      </c>
      <c r="E90" s="8">
        <f t="shared" si="13"/>
        <v>0.81984866208938578</v>
      </c>
      <c r="F90" s="6">
        <f t="shared" si="18"/>
        <v>0.7985607556033083</v>
      </c>
      <c r="G90" s="6">
        <f t="shared" si="14"/>
        <v>1.3393906108993825E-4</v>
      </c>
      <c r="H90" s="6">
        <f t="shared" si="15"/>
        <v>1.489219922238938E-3</v>
      </c>
      <c r="I90" s="1">
        <f t="shared" si="16"/>
        <v>1.3393906108993825E-4</v>
      </c>
    </row>
  </sheetData>
  <mergeCells count="4">
    <mergeCell ref="A1:N1"/>
    <mergeCell ref="B3:C3"/>
    <mergeCell ref="E3:F3"/>
    <mergeCell ref="A14:H14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02AD-9891-4E17-9BF4-06D6C412AE74}">
  <dimension ref="A1:N90"/>
  <sheetViews>
    <sheetView showGridLines="0" workbookViewId="0">
      <selection activeCell="C12" sqref="C12"/>
    </sheetView>
  </sheetViews>
  <sheetFormatPr baseColWidth="10" defaultColWidth="11.375" defaultRowHeight="14.25"/>
  <cols>
    <col min="1" max="7" width="10.375" style="1" customWidth="1"/>
    <col min="8" max="16384" width="11.375" style="1"/>
  </cols>
  <sheetData>
    <row r="1" spans="1:14" ht="41.25" customHeight="1">
      <c r="A1" s="18" t="s">
        <v>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3" spans="1:14" ht="15">
      <c r="B3" s="12" t="s">
        <v>0</v>
      </c>
      <c r="C3" s="12"/>
      <c r="E3" s="12" t="s">
        <v>1</v>
      </c>
      <c r="F3" s="12"/>
    </row>
    <row r="4" spans="1:14">
      <c r="B4" s="2" t="s">
        <v>2</v>
      </c>
      <c r="C4" s="3">
        <v>2.5000000000000001E-2</v>
      </c>
      <c r="E4" s="2" t="s">
        <v>6</v>
      </c>
      <c r="F4" s="3">
        <f>(1/C6)-1+C4</f>
        <v>2.7506265664160347E-2</v>
      </c>
    </row>
    <row r="5" spans="1:14" ht="15">
      <c r="B5" s="5" t="s">
        <v>16</v>
      </c>
      <c r="C5" s="3">
        <v>0.8</v>
      </c>
      <c r="E5" s="2" t="s">
        <v>7</v>
      </c>
      <c r="F5" s="3">
        <f>C7*(C8*C10^(1-C7))^(1/C7)</f>
        <v>1.0231910996030893</v>
      </c>
    </row>
    <row r="6" spans="1:14" ht="15">
      <c r="B6" s="5" t="s">
        <v>17</v>
      </c>
      <c r="C6" s="3">
        <v>0.99750000000000005</v>
      </c>
      <c r="E6" s="2" t="s">
        <v>8</v>
      </c>
      <c r="F6" s="3">
        <f>(C5*C7)/(C5*C7+(1-C5)*(1-C4*C10))</f>
        <v>0.7985607556033083</v>
      </c>
    </row>
    <row r="7" spans="1:14">
      <c r="B7" s="2" t="s">
        <v>3</v>
      </c>
      <c r="C7" s="3">
        <v>0.91</v>
      </c>
      <c r="E7" s="2" t="s">
        <v>9</v>
      </c>
      <c r="F7" s="3">
        <f>F6*(C8*C10^(1-C7))^(1/C7)</f>
        <v>0.89789039299518991</v>
      </c>
    </row>
    <row r="8" spans="1:14">
      <c r="B8" s="2" t="s">
        <v>4</v>
      </c>
      <c r="C8" s="3">
        <v>1</v>
      </c>
      <c r="E8" s="2" t="s">
        <v>10</v>
      </c>
      <c r="F8" s="3">
        <f>C10*F7</f>
        <v>2.9378810034129677</v>
      </c>
    </row>
    <row r="9" spans="1:14" ht="18.75">
      <c r="B9" s="2" t="s">
        <v>14</v>
      </c>
      <c r="C9" s="3">
        <v>1</v>
      </c>
      <c r="E9" s="2" t="s">
        <v>11</v>
      </c>
      <c r="F9" s="3">
        <f>F7*(1-C4*C10)</f>
        <v>0.82444336790986572</v>
      </c>
    </row>
    <row r="10" spans="1:14">
      <c r="B10" s="2" t="s">
        <v>5</v>
      </c>
      <c r="C10" s="3">
        <f>(1-C7)/(F4)</f>
        <v>3.2719817767653812</v>
      </c>
      <c r="E10" s="2" t="s">
        <v>12</v>
      </c>
      <c r="F10" s="3">
        <f>F7-F9</f>
        <v>7.3447025085324191E-2</v>
      </c>
    </row>
    <row r="11" spans="1:14" ht="18.75">
      <c r="B11" s="2" t="s">
        <v>15</v>
      </c>
      <c r="C11" s="3">
        <v>1</v>
      </c>
      <c r="E11" s="2" t="s">
        <v>18</v>
      </c>
      <c r="F11" s="3">
        <f>F10/F7</f>
        <v>8.1799544419134521E-2</v>
      </c>
    </row>
    <row r="12" spans="1:14">
      <c r="B12" s="14" t="s">
        <v>26</v>
      </c>
      <c r="C12" s="14">
        <v>2.2999999999999998</v>
      </c>
      <c r="E12" s="14"/>
      <c r="F12" s="15"/>
    </row>
    <row r="13" spans="1:14">
      <c r="B13" s="4"/>
      <c r="C13" s="4"/>
    </row>
    <row r="14" spans="1:14" ht="15">
      <c r="A14" s="16" t="s">
        <v>19</v>
      </c>
      <c r="B14" s="17"/>
      <c r="C14" s="17"/>
      <c r="D14" s="17"/>
      <c r="E14" s="17"/>
      <c r="F14" s="17"/>
      <c r="G14" s="17"/>
      <c r="H14" s="17"/>
    </row>
    <row r="15" spans="1:14" ht="15">
      <c r="A15" s="13" t="s">
        <v>13</v>
      </c>
      <c r="B15" s="13" t="s">
        <v>10</v>
      </c>
      <c r="C15" s="13" t="s">
        <v>12</v>
      </c>
      <c r="D15" s="13" t="s">
        <v>9</v>
      </c>
      <c r="E15" s="13" t="s">
        <v>11</v>
      </c>
      <c r="F15" s="13" t="s">
        <v>8</v>
      </c>
      <c r="G15" s="13" t="s">
        <v>21</v>
      </c>
      <c r="H15" s="13" t="s">
        <v>22</v>
      </c>
    </row>
    <row r="16" spans="1:14">
      <c r="A16" s="4">
        <v>1960</v>
      </c>
      <c r="B16" s="9">
        <f>(1-C4)*C9+C11</f>
        <v>1.9750000000000001</v>
      </c>
      <c r="C16" s="6">
        <f>$F$11*D16</f>
        <v>7.0868325401049925E-2</v>
      </c>
      <c r="D16" s="8">
        <f>$C$8*B16^(1-$C$7)*F16^($C$7)</f>
        <v>0.8663657714024191</v>
      </c>
      <c r="E16" s="8">
        <f>D16-C16</f>
        <v>0.79549744600136918</v>
      </c>
      <c r="F16" s="6">
        <f>$F$6</f>
        <v>0.7985607556033083</v>
      </c>
    </row>
    <row r="17" spans="1:9">
      <c r="A17" s="4">
        <f>A16+1</f>
        <v>1961</v>
      </c>
      <c r="B17" s="7">
        <f>(1-$C$4)*B16+C16</f>
        <v>1.9964933254010502</v>
      </c>
      <c r="C17" s="6">
        <f t="shared" ref="C17:C80" si="0">$F$11*D17</f>
        <v>7.0937395526378566E-2</v>
      </c>
      <c r="D17" s="8">
        <f>$C$8*B17^(1-$C$7)*F16^($C$7)</f>
        <v>0.86721015416541747</v>
      </c>
      <c r="E17" s="8">
        <f>D17-C17</f>
        <v>0.7962727586390389</v>
      </c>
      <c r="F17" s="6">
        <f t="shared" ref="F17:F24" si="1">$F$6</f>
        <v>0.7985607556033083</v>
      </c>
      <c r="G17" s="6">
        <f>D17/D16-1</f>
        <v>9.7462618084676045E-4</v>
      </c>
      <c r="H17" s="6">
        <f>B17/B16-1</f>
        <v>1.0882696405595027E-2</v>
      </c>
      <c r="I17" s="1">
        <f>C17/C16-1</f>
        <v>9.7462618084698249E-4</v>
      </c>
    </row>
    <row r="18" spans="1:9">
      <c r="A18" s="4">
        <f t="shared" ref="A18:A81" si="2">A17+1</f>
        <v>1962</v>
      </c>
      <c r="B18" s="7">
        <f>(1-$C$4)*B17+C17</f>
        <v>2.0175183877924026</v>
      </c>
      <c r="C18" s="6">
        <f t="shared" si="0"/>
        <v>7.1004309238528837E-2</v>
      </c>
      <c r="D18" s="8">
        <f t="shared" ref="D18:D81" si="3">$C$8*B18^(1-$C$7)*F17^($C$7)</f>
        <v>0.86802817476229777</v>
      </c>
      <c r="E18" s="8">
        <f t="shared" ref="E18:E81" si="4">D18-C18</f>
        <v>0.79702386552376892</v>
      </c>
      <c r="F18" s="6">
        <f t="shared" si="1"/>
        <v>0.7985607556033083</v>
      </c>
      <c r="G18" s="6">
        <f t="shared" ref="G18:G81" si="5">D18/D17-1</f>
        <v>9.4327838869401326E-4</v>
      </c>
      <c r="H18" s="6">
        <f t="shared" ref="H18:I81" si="6">B18/B17-1</f>
        <v>1.053099558303261E-2</v>
      </c>
      <c r="I18" s="1">
        <f t="shared" si="6"/>
        <v>9.4327838869401326E-4</v>
      </c>
    </row>
    <row r="19" spans="1:9">
      <c r="A19" s="4">
        <f t="shared" si="2"/>
        <v>1963</v>
      </c>
      <c r="B19" s="7">
        <f t="shared" ref="B19:B82" si="7">(1-$C$4)*B18+C18</f>
        <v>2.0380847373361211</v>
      </c>
      <c r="C19" s="6">
        <f>$F$11*D19</f>
        <v>7.1069151914091536E-2</v>
      </c>
      <c r="D19" s="8">
        <f t="shared" si="3"/>
        <v>0.86882087692247667</v>
      </c>
      <c r="E19" s="8">
        <f t="shared" si="4"/>
        <v>0.79775172500838509</v>
      </c>
      <c r="F19" s="6">
        <f t="shared" si="1"/>
        <v>0.7985607556033083</v>
      </c>
      <c r="G19" s="6">
        <f t="shared" si="5"/>
        <v>9.1322169398022623E-4</v>
      </c>
      <c r="H19" s="6">
        <f t="shared" si="6"/>
        <v>1.0193884560438793E-2</v>
      </c>
      <c r="I19" s="1">
        <f t="shared" si="6"/>
        <v>9.1322169398022623E-4</v>
      </c>
    </row>
    <row r="20" spans="1:9">
      <c r="A20" s="4">
        <f t="shared" si="2"/>
        <v>1964</v>
      </c>
      <c r="B20" s="7">
        <f t="shared" si="7"/>
        <v>2.0582017708168094</v>
      </c>
      <c r="C20" s="6">
        <f t="shared" si="0"/>
        <v>7.1132004436902888E-2</v>
      </c>
      <c r="D20" s="8">
        <f t="shared" si="3"/>
        <v>0.86958924945141525</v>
      </c>
      <c r="E20" s="8">
        <f t="shared" si="4"/>
        <v>0.79845724501451232</v>
      </c>
      <c r="F20" s="6">
        <f t="shared" si="1"/>
        <v>0.7985607556033083</v>
      </c>
      <c r="G20" s="6">
        <f t="shared" si="5"/>
        <v>8.8438543472890707E-4</v>
      </c>
      <c r="H20" s="6">
        <f t="shared" si="6"/>
        <v>9.8705579371456409E-3</v>
      </c>
      <c r="I20" s="1">
        <f t="shared" si="6"/>
        <v>8.8438543472890707E-4</v>
      </c>
    </row>
    <row r="21" spans="1:9">
      <c r="A21" s="4">
        <f t="shared" si="2"/>
        <v>1965</v>
      </c>
      <c r="B21" s="7">
        <f>(1-$C$4)*B20+C20</f>
        <v>2.0778787309832918</v>
      </c>
      <c r="C21" s="6">
        <f t="shared" si="0"/>
        <v>7.1192943506112452E-2</v>
      </c>
      <c r="D21" s="8">
        <f t="shared" si="3"/>
        <v>0.87033422999675081</v>
      </c>
      <c r="E21" s="8">
        <f t="shared" si="4"/>
        <v>0.79914128649063831</v>
      </c>
      <c r="F21" s="6">
        <f t="shared" si="1"/>
        <v>0.7985607556033083</v>
      </c>
      <c r="G21" s="6">
        <f t="shared" si="5"/>
        <v>8.5670395052095394E-4</v>
      </c>
      <c r="H21" s="6">
        <f t="shared" si="6"/>
        <v>9.5602678247981299E-3</v>
      </c>
      <c r="I21" s="1">
        <f t="shared" si="6"/>
        <v>8.5670395052095394E-4</v>
      </c>
    </row>
    <row r="22" spans="1:9">
      <c r="A22" s="4">
        <f t="shared" si="2"/>
        <v>1966</v>
      </c>
      <c r="B22" s="7">
        <f t="shared" si="7"/>
        <v>2.0971247062148217</v>
      </c>
      <c r="C22" s="6">
        <f t="shared" si="0"/>
        <v>7.1252041918084374E-2</v>
      </c>
      <c r="D22" s="8">
        <f t="shared" si="3"/>
        <v>0.87105670849454164</v>
      </c>
      <c r="E22" s="8">
        <f>D22-C22</f>
        <v>0.79980466657645732</v>
      </c>
      <c r="F22" s="6">
        <f>$F$6</f>
        <v>0.7985607556033083</v>
      </c>
      <c r="G22" s="6">
        <f t="shared" si="5"/>
        <v>8.3011614721106852E-4</v>
      </c>
      <c r="H22" s="6">
        <f t="shared" si="6"/>
        <v>9.2623187987599387E-3</v>
      </c>
      <c r="I22" s="1">
        <f t="shared" si="6"/>
        <v>8.3011614721129057E-4</v>
      </c>
    </row>
    <row r="23" spans="1:9">
      <c r="A23" s="4">
        <f t="shared" si="2"/>
        <v>1967</v>
      </c>
      <c r="B23" s="7">
        <f t="shared" si="7"/>
        <v>2.1159486304775355</v>
      </c>
      <c r="C23" s="6">
        <f t="shared" si="0"/>
        <v>7.1309368824767877E-2</v>
      </c>
      <c r="D23" s="8">
        <f t="shared" si="3"/>
        <v>0.87175753032784875</v>
      </c>
      <c r="E23" s="8">
        <f t="shared" si="4"/>
        <v>0.80044816150308085</v>
      </c>
      <c r="F23" s="6">
        <f t="shared" si="1"/>
        <v>0.7985607556033083</v>
      </c>
      <c r="G23" s="6">
        <f t="shared" si="5"/>
        <v>8.0456510635040779E-4</v>
      </c>
      <c r="H23" s="6">
        <f t="shared" si="6"/>
        <v>8.9760633723541261E-3</v>
      </c>
      <c r="I23" s="1">
        <f t="shared" si="6"/>
        <v>8.0456510635040779E-4</v>
      </c>
    </row>
    <row r="24" spans="1:9">
      <c r="A24" s="4">
        <f t="shared" si="2"/>
        <v>1968</v>
      </c>
      <c r="B24" s="7">
        <f t="shared" si="7"/>
        <v>2.1343592835403649</v>
      </c>
      <c r="C24" s="6">
        <f t="shared" si="0"/>
        <v>7.1364989970866696E-2</v>
      </c>
      <c r="D24" s="8">
        <f t="shared" si="3"/>
        <v>0.8724374992261329</v>
      </c>
      <c r="E24" s="8">
        <f t="shared" si="4"/>
        <v>0.80107250925526619</v>
      </c>
      <c r="F24" s="6">
        <f t="shared" si="1"/>
        <v>0.7985607556033083</v>
      </c>
      <c r="G24" s="6">
        <f t="shared" si="5"/>
        <v>7.7999773403547579E-4</v>
      </c>
      <c r="H24" s="6">
        <f t="shared" si="6"/>
        <v>8.7008979318530244E-3</v>
      </c>
      <c r="I24" s="1">
        <f t="shared" si="6"/>
        <v>7.7999773403547579E-4</v>
      </c>
    </row>
    <row r="25" spans="1:9">
      <c r="A25" s="4">
        <f t="shared" si="2"/>
        <v>1969</v>
      </c>
      <c r="B25" s="7">
        <f t="shared" si="7"/>
        <v>2.1523652914227225</v>
      </c>
      <c r="C25" s="6">
        <f t="shared" si="0"/>
        <v>7.1418967911872411E-2</v>
      </c>
      <c r="D25" s="8">
        <f t="shared" si="3"/>
        <v>0.87309737993071401</v>
      </c>
      <c r="E25" s="8">
        <f t="shared" si="4"/>
        <v>0.8016784120188416</v>
      </c>
      <c r="F25" s="6">
        <f t="shared" ref="F25:F88" si="8">F16</f>
        <v>0.7985607556033083</v>
      </c>
      <c r="G25" s="6">
        <f t="shared" si="5"/>
        <v>7.5636444463511587E-4</v>
      </c>
      <c r="H25" s="6">
        <f t="shared" si="6"/>
        <v>8.4362590784108349E-3</v>
      </c>
      <c r="I25" s="1">
        <f t="shared" si="6"/>
        <v>7.5636444463533792E-4</v>
      </c>
    </row>
    <row r="26" spans="1:9">
      <c r="A26" s="4">
        <f t="shared" si="2"/>
        <v>1970</v>
      </c>
      <c r="B26" s="11">
        <f t="shared" si="7"/>
        <v>2.1699751270490268</v>
      </c>
      <c r="C26" s="6">
        <f t="shared" si="0"/>
        <v>7.1471362214794221E-2</v>
      </c>
      <c r="D26" s="8">
        <f t="shared" si="3"/>
        <v>0.87373790064869439</v>
      </c>
      <c r="E26" s="8">
        <f t="shared" si="4"/>
        <v>0.80226653843390017</v>
      </c>
      <c r="F26" s="6">
        <f t="shared" si="8"/>
        <v>0.7985607556033083</v>
      </c>
      <c r="G26" s="6">
        <f t="shared" si="5"/>
        <v>7.3361887540102089E-4</v>
      </c>
      <c r="H26" s="6">
        <f t="shared" si="6"/>
        <v>8.1816203301923185E-3</v>
      </c>
      <c r="I26" s="1">
        <f t="shared" si="6"/>
        <v>7.3361887540102089E-4</v>
      </c>
    </row>
    <row r="27" spans="1:9">
      <c r="A27" s="4">
        <f t="shared" si="2"/>
        <v>1971</v>
      </c>
      <c r="B27" s="11">
        <f t="shared" si="7"/>
        <v>2.1871971110875954</v>
      </c>
      <c r="C27" s="6">
        <f t="shared" si="0"/>
        <v>7.1522229643216514E-2</v>
      </c>
      <c r="D27" s="8">
        <f t="shared" si="3"/>
        <v>0.8743597553152882</v>
      </c>
      <c r="E27" s="8">
        <f t="shared" si="4"/>
        <v>0.80283752567207167</v>
      </c>
      <c r="F27" s="6">
        <f t="shared" si="8"/>
        <v>0.7985607556033083</v>
      </c>
      <c r="G27" s="6">
        <f t="shared" si="5"/>
        <v>7.1171762851540699E-4</v>
      </c>
      <c r="H27" s="6">
        <f t="shared" si="6"/>
        <v>7.9364891439972496E-3</v>
      </c>
      <c r="I27" s="1">
        <f t="shared" si="6"/>
        <v>7.1171762851562903E-4</v>
      </c>
    </row>
    <row r="28" spans="1:9">
      <c r="A28" s="4">
        <f t="shared" si="2"/>
        <v>1972</v>
      </c>
      <c r="B28" s="7">
        <f t="shared" si="7"/>
        <v>2.2040394129536218</v>
      </c>
      <c r="C28" s="6">
        <f t="shared" si="0"/>
        <v>7.1571624328137642E-2</v>
      </c>
      <c r="D28" s="8">
        <f t="shared" si="3"/>
        <v>0.87496360568232745</v>
      </c>
      <c r="E28" s="8">
        <f t="shared" si="4"/>
        <v>0.80339198135418977</v>
      </c>
      <c r="F28" s="6">
        <f t="shared" si="8"/>
        <v>0.7985607556033083</v>
      </c>
      <c r="G28" s="6">
        <f t="shared" si="5"/>
        <v>6.9062003753983525E-4</v>
      </c>
      <c r="H28" s="6">
        <f t="shared" si="6"/>
        <v>7.7004042208392853E-3</v>
      </c>
      <c r="I28" s="1">
        <f t="shared" si="6"/>
        <v>6.9062003753983525E-4</v>
      </c>
    </row>
    <row r="29" spans="1:9">
      <c r="A29" s="4">
        <f t="shared" si="2"/>
        <v>1973</v>
      </c>
      <c r="B29" s="7">
        <f t="shared" si="7"/>
        <v>2.2205100519579188</v>
      </c>
      <c r="C29" s="6">
        <f t="shared" si="0"/>
        <v>7.161959792588847E-2</v>
      </c>
      <c r="D29" s="8">
        <f t="shared" si="3"/>
        <v>0.87555008324881622</v>
      </c>
      <c r="E29" s="8">
        <f t="shared" si="4"/>
        <v>0.80393048532292777</v>
      </c>
      <c r="F29" s="6">
        <f t="shared" si="8"/>
        <v>0.7985607556033083</v>
      </c>
      <c r="G29" s="6">
        <f t="shared" si="5"/>
        <v>6.7028795561330234E-4</v>
      </c>
      <c r="H29" s="6">
        <f t="shared" si="6"/>
        <v>7.4729330643978908E-3</v>
      </c>
      <c r="I29" s="1">
        <f t="shared" si="6"/>
        <v>6.7028795561330234E-4</v>
      </c>
    </row>
    <row r="30" spans="1:9">
      <c r="A30" s="4">
        <f t="shared" si="2"/>
        <v>1974</v>
      </c>
      <c r="B30" s="7">
        <f t="shared" si="7"/>
        <v>2.2366168985848591</v>
      </c>
      <c r="C30" s="6">
        <f t="shared" si="0"/>
        <v>7.1666199764292171E-2</v>
      </c>
      <c r="D30" s="8">
        <f t="shared" si="3"/>
        <v>0.87611979104773652</v>
      </c>
      <c r="E30" s="8">
        <f t="shared" si="4"/>
        <v>0.80445359128344429</v>
      </c>
      <c r="F30" s="6">
        <f t="shared" si="8"/>
        <v>0.7985607556033083</v>
      </c>
      <c r="G30" s="6">
        <f t="shared" si="5"/>
        <v>6.5068556307634751E-4</v>
      </c>
      <c r="H30" s="6">
        <f t="shared" si="6"/>
        <v>7.2536697650786852E-3</v>
      </c>
      <c r="I30" s="1">
        <f t="shared" si="6"/>
        <v>6.5068556307634751E-4</v>
      </c>
    </row>
    <row r="31" spans="1:9">
      <c r="A31" s="4">
        <f t="shared" si="2"/>
        <v>1975</v>
      </c>
      <c r="B31" s="7">
        <f t="shared" si="7"/>
        <v>2.2523676758845297</v>
      </c>
      <c r="C31" s="6">
        <f t="shared" si="0"/>
        <v>7.1711476978106939E-2</v>
      </c>
      <c r="D31" s="8">
        <f t="shared" si="3"/>
        <v>0.87667330530183518</v>
      </c>
      <c r="E31" s="8">
        <f t="shared" si="4"/>
        <v>0.8049618283237282</v>
      </c>
      <c r="F31" s="6">
        <f t="shared" si="8"/>
        <v>0.7985607556033083</v>
      </c>
      <c r="G31" s="6">
        <f t="shared" si="5"/>
        <v>6.3177919247414671E-4</v>
      </c>
      <c r="H31" s="6">
        <f t="shared" si="6"/>
        <v>7.0422329857366961E-3</v>
      </c>
      <c r="I31" s="1">
        <f t="shared" si="6"/>
        <v>6.3177919247414671E-4</v>
      </c>
    </row>
    <row r="32" spans="1:9">
      <c r="A32" s="4">
        <f t="shared" si="2"/>
        <v>1976</v>
      </c>
      <c r="B32" s="7">
        <f t="shared" si="7"/>
        <v>2.2677699609655231</v>
      </c>
      <c r="C32" s="6">
        <f t="shared" si="0"/>
        <v>7.1755474634686206E-2</v>
      </c>
      <c r="D32" s="8">
        <f t="shared" si="3"/>
        <v>0.87721117695982176</v>
      </c>
      <c r="E32" s="8">
        <f t="shared" si="4"/>
        <v>0.80545570232513553</v>
      </c>
      <c r="F32" s="6">
        <f t="shared" si="8"/>
        <v>0.7985607556033083</v>
      </c>
      <c r="G32" s="6">
        <f t="shared" si="5"/>
        <v>6.1353716912981859E-4</v>
      </c>
      <c r="H32" s="6">
        <f t="shared" si="6"/>
        <v>6.8382641279669532E-3</v>
      </c>
      <c r="I32" s="1">
        <f t="shared" si="6"/>
        <v>6.1353716912981859E-4</v>
      </c>
    </row>
    <row r="33" spans="1:9">
      <c r="A33" s="4">
        <f t="shared" si="2"/>
        <v>1977</v>
      </c>
      <c r="B33" s="7">
        <f t="shared" si="7"/>
        <v>2.2828311865760713</v>
      </c>
      <c r="C33" s="6">
        <f t="shared" si="0"/>
        <v>7.1798235850697348E-2</v>
      </c>
      <c r="D33" s="8">
        <f t="shared" si="3"/>
        <v>0.87773393312325498</v>
      </c>
      <c r="E33" s="8">
        <f t="shared" si="4"/>
        <v>0.80593569727255765</v>
      </c>
      <c r="F33" s="6">
        <f t="shared" si="8"/>
        <v>0.7985607556033083</v>
      </c>
      <c r="G33" s="6">
        <f t="shared" si="5"/>
        <v>5.9592966569921302E-4</v>
      </c>
      <c r="H33" s="6">
        <f t="shared" si="6"/>
        <v>6.6414256603593014E-3</v>
      </c>
      <c r="I33" s="1">
        <f t="shared" si="6"/>
        <v>5.9592966569921302E-4</v>
      </c>
    </row>
    <row r="34" spans="1:9">
      <c r="A34" s="4">
        <f t="shared" si="2"/>
        <v>1978</v>
      </c>
      <c r="B34" s="7">
        <f t="shared" si="7"/>
        <v>2.2975586427623669</v>
      </c>
      <c r="C34" s="6">
        <f t="shared" si="0"/>
        <v>7.1839801900656405E-2</v>
      </c>
      <c r="D34" s="8">
        <f t="shared" si="3"/>
        <v>0.87824207837338109</v>
      </c>
      <c r="E34" s="8">
        <f t="shared" si="4"/>
        <v>0.80640227647272467</v>
      </c>
      <c r="F34" s="6">
        <f t="shared" si="8"/>
        <v>0.7985607556033083</v>
      </c>
      <c r="G34" s="6">
        <f t="shared" si="5"/>
        <v>5.7892856929653291E-4</v>
      </c>
      <c r="H34" s="6">
        <f t="shared" si="6"/>
        <v>6.4513995922688139E-3</v>
      </c>
      <c r="I34" s="1">
        <f t="shared" si="6"/>
        <v>5.7892856929653291E-4</v>
      </c>
    </row>
    <row r="35" spans="1:9">
      <c r="A35" s="4">
        <f t="shared" si="2"/>
        <v>1979</v>
      </c>
      <c r="B35" s="7">
        <f t="shared" si="7"/>
        <v>2.3119594785939639</v>
      </c>
      <c r="C35" s="6">
        <f t="shared" si="0"/>
        <v>7.1880212317962211E-2</v>
      </c>
      <c r="D35" s="8">
        <f>$C$8*B35^(1-$C$7)*F34^($C$7)</f>
        <v>0.87873609600627578</v>
      </c>
      <c r="E35" s="8">
        <f t="shared" si="4"/>
        <v>0.80685588368831351</v>
      </c>
      <c r="F35" s="6">
        <f t="shared" si="8"/>
        <v>0.7985607556033083</v>
      </c>
      <c r="G35" s="6">
        <f t="shared" si="5"/>
        <v>5.6250735994067824E-4</v>
      </c>
      <c r="H35" s="6">
        <f t="shared" si="6"/>
        <v>6.2678860785390089E-3</v>
      </c>
      <c r="I35" s="1">
        <f t="shared" si="6"/>
        <v>5.6250735994067824E-4</v>
      </c>
    </row>
    <row r="36" spans="1:9">
      <c r="A36" s="4">
        <f t="shared" si="2"/>
        <v>1980</v>
      </c>
      <c r="B36" s="7">
        <f t="shared" si="7"/>
        <v>2.326040703947077</v>
      </c>
      <c r="C36" s="6">
        <f t="shared" si="0"/>
        <v>7.19195049890472E-2</v>
      </c>
      <c r="D36" s="8">
        <f t="shared" si="3"/>
        <v>0.87921644918383945</v>
      </c>
      <c r="E36" s="8">
        <f t="shared" si="4"/>
        <v>0.80729694419479225</v>
      </c>
      <c r="F36" s="6">
        <f t="shared" si="8"/>
        <v>0.7985607556033083</v>
      </c>
      <c r="G36" s="6">
        <f t="shared" si="5"/>
        <v>5.4664099921097886E-4</v>
      </c>
      <c r="H36" s="6">
        <f t="shared" si="6"/>
        <v>6.0906021422471035E-3</v>
      </c>
      <c r="I36" s="1">
        <f t="shared" si="6"/>
        <v>5.4664099921097886E-4</v>
      </c>
    </row>
    <row r="37" spans="1:9">
      <c r="A37" s="4">
        <f t="shared" si="2"/>
        <v>1981</v>
      </c>
      <c r="B37" s="7">
        <f t="shared" si="7"/>
        <v>2.3398091913374475</v>
      </c>
      <c r="C37" s="6">
        <f t="shared" si="0"/>
        <v>7.19577162412042E-2</v>
      </c>
      <c r="D37" s="8">
        <f t="shared" si="3"/>
        <v>0.87968358200747965</v>
      </c>
      <c r="E37" s="8">
        <f t="shared" si="4"/>
        <v>0.80772586576627547</v>
      </c>
      <c r="F37" s="6">
        <f t="shared" si="8"/>
        <v>0.7985607556033083</v>
      </c>
      <c r="G37" s="6">
        <f t="shared" si="5"/>
        <v>5.3130582813110117E-4</v>
      </c>
      <c r="H37" s="6">
        <f t="shared" si="6"/>
        <v>5.9192805039940399E-3</v>
      </c>
      <c r="I37" s="1">
        <f t="shared" si="6"/>
        <v>5.3130582813132321E-4</v>
      </c>
    </row>
    <row r="38" spans="1:9">
      <c r="A38" s="4">
        <f t="shared" si="2"/>
        <v>1982</v>
      </c>
      <c r="B38" s="7">
        <f t="shared" si="7"/>
        <v>2.3532716777952158</v>
      </c>
      <c r="C38" s="6">
        <f t="shared" si="0"/>
        <v>7.1994880924595037E-2</v>
      </c>
      <c r="D38" s="8">
        <f t="shared" si="3"/>
        <v>0.88013792052066764</v>
      </c>
      <c r="E38" s="8">
        <f t="shared" si="4"/>
        <v>0.80814303959607259</v>
      </c>
      <c r="F38" s="6">
        <f t="shared" si="8"/>
        <v>0.7985607556033083</v>
      </c>
      <c r="G38" s="6">
        <f t="shared" si="5"/>
        <v>5.1647947339339417E-4</v>
      </c>
      <c r="H38" s="6">
        <f t="shared" si="6"/>
        <v>5.7536685075048055E-3</v>
      </c>
      <c r="I38" s="1">
        <f t="shared" si="6"/>
        <v>5.1647947339317213E-4</v>
      </c>
    </row>
    <row r="39" spans="1:9">
      <c r="A39" s="4">
        <f t="shared" si="2"/>
        <v>1983</v>
      </c>
      <c r="B39" s="7">
        <f t="shared" si="7"/>
        <v>2.3664347667749306</v>
      </c>
      <c r="C39" s="6">
        <f t="shared" si="0"/>
        <v>7.2031032488901178E-2</v>
      </c>
      <c r="D39" s="8">
        <f t="shared" si="3"/>
        <v>0.88057987364599188</v>
      </c>
      <c r="E39" s="8">
        <f t="shared" si="4"/>
        <v>0.80854884115709069</v>
      </c>
      <c r="F39" s="6">
        <f t="shared" si="8"/>
        <v>0.7985607556033083</v>
      </c>
      <c r="G39" s="6">
        <f t="shared" si="5"/>
        <v>5.0214076114651895E-4</v>
      </c>
      <c r="H39" s="6">
        <f t="shared" si="6"/>
        <v>5.5935271324250024E-3</v>
      </c>
      <c r="I39" s="1">
        <f t="shared" si="6"/>
        <v>5.02140761146741E-4</v>
      </c>
    </row>
    <row r="40" spans="1:9">
      <c r="A40" s="4">
        <f t="shared" si="2"/>
        <v>1984</v>
      </c>
      <c r="B40" s="7">
        <f t="shared" si="7"/>
        <v>2.3793049300944586</v>
      </c>
      <c r="C40" s="6">
        <f t="shared" si="0"/>
        <v>7.206620305503332E-2</v>
      </c>
      <c r="D40" s="8">
        <f t="shared" si="3"/>
        <v>0.88100983406180955</v>
      </c>
      <c r="E40" s="8">
        <f t="shared" si="4"/>
        <v>0.80894363100677624</v>
      </c>
      <c r="F40" s="6">
        <f t="shared" si="8"/>
        <v>0.7985607556033083</v>
      </c>
      <c r="G40" s="6">
        <f t="shared" si="5"/>
        <v>4.8826963763937137E-4</v>
      </c>
      <c r="H40" s="6">
        <f t="shared" si="6"/>
        <v>5.4386300861646308E-3</v>
      </c>
      <c r="I40" s="1">
        <f t="shared" si="6"/>
        <v>4.8826963763937137E-4</v>
      </c>
    </row>
    <row r="41" spans="1:9">
      <c r="A41" s="4">
        <f t="shared" si="2"/>
        <v>1985</v>
      </c>
      <c r="B41" s="7">
        <f t="shared" si="7"/>
        <v>2.3918885098971305</v>
      </c>
      <c r="C41" s="6">
        <f t="shared" si="0"/>
        <v>7.2100423482280629E-2</v>
      </c>
      <c r="D41" s="8">
        <f t="shared" si="3"/>
        <v>0.8814281790231453</v>
      </c>
      <c r="E41" s="8">
        <f t="shared" si="4"/>
        <v>0.80932775554086467</v>
      </c>
      <c r="F41" s="6">
        <f t="shared" si="8"/>
        <v>0.7985607556033083</v>
      </c>
      <c r="G41" s="6">
        <f t="shared" si="5"/>
        <v>4.7484709609535436E-4</v>
      </c>
      <c r="H41" s="6">
        <f t="shared" si="6"/>
        <v>5.2887629674991388E-3</v>
      </c>
      <c r="I41" s="1">
        <f t="shared" si="6"/>
        <v>4.7484709609535436E-4</v>
      </c>
    </row>
    <row r="42" spans="1:9">
      <c r="A42" s="4">
        <f t="shared" si="2"/>
        <v>1986</v>
      </c>
      <c r="B42" s="7">
        <f t="shared" si="7"/>
        <v>2.4041917206319829</v>
      </c>
      <c r="C42" s="6">
        <f t="shared" si="0"/>
        <v>7.2133723431245231E-2</v>
      </c>
      <c r="D42" s="8">
        <f t="shared" si="3"/>
        <v>0.88183527113106686</v>
      </c>
      <c r="E42" s="8">
        <f t="shared" si="4"/>
        <v>0.80970154769982161</v>
      </c>
      <c r="F42" s="6">
        <f t="shared" si="8"/>
        <v>0.7985607556033083</v>
      </c>
      <c r="G42" s="6">
        <f t="shared" si="5"/>
        <v>4.6185510925322859E-4</v>
      </c>
      <c r="H42" s="6">
        <f t="shared" si="6"/>
        <v>5.143722495402514E-3</v>
      </c>
      <c r="I42" s="1">
        <f t="shared" si="6"/>
        <v>4.6185510925300655E-4</v>
      </c>
    </row>
    <row r="43" spans="1:9">
      <c r="A43" s="4">
        <f t="shared" si="2"/>
        <v>1987</v>
      </c>
      <c r="B43" s="7">
        <f t="shared" si="7"/>
        <v>2.4162206510474284</v>
      </c>
      <c r="C43" s="6">
        <f t="shared" si="0"/>
        <v>7.216613142287831E-2</v>
      </c>
      <c r="D43" s="8">
        <f t="shared" si="3"/>
        <v>0.8822314590544007</v>
      </c>
      <c r="E43" s="8">
        <f t="shared" si="4"/>
        <v>0.81006532763152239</v>
      </c>
      <c r="F43" s="6">
        <f t="shared" si="8"/>
        <v>0.7985607556033083</v>
      </c>
      <c r="G43" s="6">
        <f t="shared" si="5"/>
        <v>4.4927656706872376E-4</v>
      </c>
      <c r="H43" s="6">
        <f t="shared" si="6"/>
        <v>5.0033157972457776E-3</v>
      </c>
      <c r="I43" s="1">
        <f t="shared" si="6"/>
        <v>4.4927656706872376E-4</v>
      </c>
    </row>
    <row r="44" spans="1:9">
      <c r="A44" s="4">
        <f t="shared" si="2"/>
        <v>1988</v>
      </c>
      <c r="B44" s="7">
        <f t="shared" si="7"/>
        <v>2.4279812661941209</v>
      </c>
      <c r="C44" s="6">
        <f t="shared" si="0"/>
        <v>7.2197674893905772E-2</v>
      </c>
      <c r="D44" s="8">
        <f t="shared" si="3"/>
        <v>0.88261707820731228</v>
      </c>
      <c r="E44" s="8">
        <f t="shared" si="4"/>
        <v>0.81041940331340645</v>
      </c>
      <c r="F44" s="6">
        <f t="shared" si="8"/>
        <v>0.7985607556033083</v>
      </c>
      <c r="G44" s="6">
        <f t="shared" si="5"/>
        <v>4.3709521912194127E-4</v>
      </c>
      <c r="H44" s="6">
        <f t="shared" si="6"/>
        <v>4.8673597511030842E-3</v>
      </c>
      <c r="I44" s="1">
        <f t="shared" si="6"/>
        <v>4.3709521912194127E-4</v>
      </c>
    </row>
    <row r="45" spans="1:9">
      <c r="A45" s="4">
        <f t="shared" si="2"/>
        <v>1989</v>
      </c>
      <c r="B45" s="7">
        <f t="shared" si="7"/>
        <v>2.4394794094331735</v>
      </c>
      <c r="C45" s="6">
        <f t="shared" si="0"/>
        <v>7.2228380248907639E-2</v>
      </c>
      <c r="D45" s="8">
        <f t="shared" si="3"/>
        <v>0.88299245138597626</v>
      </c>
      <c r="E45" s="8">
        <f t="shared" si="4"/>
        <v>0.81076407113706861</v>
      </c>
      <c r="F45" s="6">
        <f t="shared" si="8"/>
        <v>0.7985607556033083</v>
      </c>
      <c r="G45" s="6">
        <f t="shared" si="5"/>
        <v>4.252956213202097E-4</v>
      </c>
      <c r="H45" s="6">
        <f t="shared" si="6"/>
        <v>4.7356803774174505E-3</v>
      </c>
      <c r="I45" s="1">
        <f t="shared" si="6"/>
        <v>4.2529562131998766E-4</v>
      </c>
    </row>
    <row r="46" spans="1:9">
      <c r="A46" s="4">
        <f t="shared" si="2"/>
        <v>1990</v>
      </c>
      <c r="B46" s="10">
        <f>C12</f>
        <v>2.2999999999999998</v>
      </c>
      <c r="C46" s="21">
        <f>$F$11*D46</f>
        <v>7.1846668828491445E-2</v>
      </c>
      <c r="D46" s="8">
        <f t="shared" si="3"/>
        <v>0.87832602661397086</v>
      </c>
      <c r="E46" s="8">
        <f t="shared" si="4"/>
        <v>0.80647935778547941</v>
      </c>
      <c r="F46" s="6">
        <f t="shared" si="8"/>
        <v>0.7985607556033083</v>
      </c>
      <c r="G46" s="6">
        <f t="shared" si="5"/>
        <v>-5.2847844448509207E-3</v>
      </c>
      <c r="H46" s="6">
        <f t="shared" si="6"/>
        <v>-5.7175891255250466E-2</v>
      </c>
      <c r="I46" s="1">
        <f t="shared" si="6"/>
        <v>-5.2847844448508097E-3</v>
      </c>
    </row>
    <row r="47" spans="1:9">
      <c r="A47" s="4">
        <f t="shared" si="2"/>
        <v>1991</v>
      </c>
      <c r="B47" s="7">
        <f t="shared" si="7"/>
        <v>2.3143466688284913</v>
      </c>
      <c r="C47" s="6">
        <f t="shared" si="0"/>
        <v>7.1886888908214416E-2</v>
      </c>
      <c r="D47" s="8">
        <f t="shared" si="3"/>
        <v>0.87881771736859038</v>
      </c>
      <c r="E47" s="8">
        <f t="shared" si="4"/>
        <v>0.806930828460376</v>
      </c>
      <c r="F47" s="6">
        <f t="shared" si="8"/>
        <v>0.7985607556033083</v>
      </c>
      <c r="G47" s="6">
        <f t="shared" si="5"/>
        <v>5.5980437755565049E-4</v>
      </c>
      <c r="H47" s="6">
        <f t="shared" si="6"/>
        <v>6.2376820993441662E-3</v>
      </c>
      <c r="I47" s="1">
        <f t="shared" si="6"/>
        <v>5.5980437755542845E-4</v>
      </c>
    </row>
    <row r="48" spans="1:9">
      <c r="A48" s="4">
        <f t="shared" si="2"/>
        <v>1992</v>
      </c>
      <c r="B48" s="7">
        <f t="shared" si="7"/>
        <v>2.3283748910159932</v>
      </c>
      <c r="C48" s="6">
        <f t="shared" si="0"/>
        <v>7.1925997449797774E-2</v>
      </c>
      <c r="D48" s="8">
        <f t="shared" si="3"/>
        <v>0.87929581956171476</v>
      </c>
      <c r="E48" s="8">
        <f t="shared" si="4"/>
        <v>0.80736982211191699</v>
      </c>
      <c r="F48" s="6">
        <f t="shared" si="8"/>
        <v>0.7985607556033083</v>
      </c>
      <c r="G48" s="6">
        <f t="shared" si="5"/>
        <v>5.440288511204816E-4</v>
      </c>
      <c r="H48" s="6">
        <f t="shared" si="6"/>
        <v>6.0614178404840846E-3</v>
      </c>
      <c r="I48" s="1">
        <f t="shared" si="6"/>
        <v>5.440288511204816E-4</v>
      </c>
    </row>
    <row r="49" spans="1:9">
      <c r="A49" s="4">
        <f t="shared" si="2"/>
        <v>1993</v>
      </c>
      <c r="B49" s="7">
        <f t="shared" si="7"/>
        <v>2.3420915161903908</v>
      </c>
      <c r="C49" s="6">
        <f t="shared" si="0"/>
        <v>7.1964030526860165E-2</v>
      </c>
      <c r="D49" s="8">
        <f t="shared" si="3"/>
        <v>0.87976077419358301</v>
      </c>
      <c r="E49" s="8">
        <f t="shared" si="4"/>
        <v>0.80779674366672283</v>
      </c>
      <c r="F49" s="6">
        <f t="shared" si="8"/>
        <v>0.7985607556033083</v>
      </c>
      <c r="G49" s="6">
        <f t="shared" si="5"/>
        <v>5.2878066917227962E-4</v>
      </c>
      <c r="H49" s="6">
        <f t="shared" si="6"/>
        <v>5.891072450284085E-3</v>
      </c>
      <c r="I49" s="1">
        <f t="shared" si="6"/>
        <v>5.2878066917227962E-4</v>
      </c>
    </row>
    <row r="50" spans="1:9">
      <c r="A50" s="4">
        <f t="shared" si="2"/>
        <v>1994</v>
      </c>
      <c r="B50" s="7">
        <f t="shared" si="7"/>
        <v>2.3555032588124911</v>
      </c>
      <c r="C50" s="6">
        <f t="shared" si="0"/>
        <v>7.2001022749125912E-2</v>
      </c>
      <c r="D50" s="8">
        <f t="shared" si="3"/>
        <v>0.88021300436831595</v>
      </c>
      <c r="E50" s="8">
        <f t="shared" si="4"/>
        <v>0.80821198161919006</v>
      </c>
      <c r="F50" s="6">
        <f t="shared" si="8"/>
        <v>0.7985607556033083</v>
      </c>
      <c r="G50" s="6">
        <f t="shared" si="5"/>
        <v>5.1403766569091403E-4</v>
      </c>
      <c r="H50" s="6">
        <f t="shared" si="6"/>
        <v>5.7263956294566487E-3</v>
      </c>
      <c r="I50" s="1">
        <f t="shared" si="6"/>
        <v>5.1403766569113607E-4</v>
      </c>
    </row>
    <row r="51" spans="1:9">
      <c r="A51" s="4">
        <f t="shared" si="2"/>
        <v>1995</v>
      </c>
      <c r="B51" s="7">
        <f t="shared" si="7"/>
        <v>2.3686167000913048</v>
      </c>
      <c r="C51" s="6">
        <f t="shared" si="0"/>
        <v>7.2037007338217454E-2</v>
      </c>
      <c r="D51" s="8">
        <f t="shared" si="3"/>
        <v>0.88065291622047936</v>
      </c>
      <c r="E51" s="8">
        <f t="shared" si="4"/>
        <v>0.80861590888226187</v>
      </c>
      <c r="F51" s="6">
        <f t="shared" si="8"/>
        <v>0.7985607556033083</v>
      </c>
      <c r="G51" s="6">
        <f t="shared" si="5"/>
        <v>4.9977886032159802E-4</v>
      </c>
      <c r="H51" s="6">
        <f t="shared" si="6"/>
        <v>5.5671505567878032E-3</v>
      </c>
      <c r="I51" s="1">
        <f t="shared" si="6"/>
        <v>4.9977886032159802E-4</v>
      </c>
    </row>
    <row r="52" spans="1:9">
      <c r="A52" s="4">
        <f t="shared" si="2"/>
        <v>1996</v>
      </c>
      <c r="B52" s="7">
        <f t="shared" si="7"/>
        <v>2.3814382899272397</v>
      </c>
      <c r="C52" s="6">
        <f t="shared" si="0"/>
        <v>7.2072016198573646E-2</v>
      </c>
      <c r="D52" s="8">
        <f t="shared" si="3"/>
        <v>0.88108089978206017</v>
      </c>
      <c r="E52" s="8">
        <f t="shared" si="4"/>
        <v>0.80900888358348655</v>
      </c>
      <c r="F52" s="6">
        <f t="shared" si="8"/>
        <v>0.7985607556033083</v>
      </c>
      <c r="G52" s="6">
        <f t="shared" si="5"/>
        <v>4.8598438010927225E-4</v>
      </c>
      <c r="H52" s="6">
        <f t="shared" si="6"/>
        <v>5.4131129935208744E-3</v>
      </c>
      <c r="I52" s="1">
        <f t="shared" si="6"/>
        <v>4.8598438010927225E-4</v>
      </c>
    </row>
    <row r="53" spans="1:9">
      <c r="A53" s="4">
        <f t="shared" si="2"/>
        <v>1997</v>
      </c>
      <c r="B53" s="7">
        <f t="shared" si="7"/>
        <v>2.3939743488776322</v>
      </c>
      <c r="C53" s="6">
        <f t="shared" si="0"/>
        <v>7.2106079983867588E-2</v>
      </c>
      <c r="D53" s="8">
        <f t="shared" si="3"/>
        <v>0.88149732979442552</v>
      </c>
      <c r="E53" s="8">
        <f t="shared" si="4"/>
        <v>0.80939124981055799</v>
      </c>
      <c r="F53" s="6">
        <f t="shared" si="8"/>
        <v>0.7985607556033083</v>
      </c>
      <c r="G53" s="6">
        <f t="shared" si="5"/>
        <v>4.7263538736164179E-4</v>
      </c>
      <c r="H53" s="6">
        <f t="shared" si="6"/>
        <v>5.2640704583513109E-3</v>
      </c>
      <c r="I53" s="1">
        <f t="shared" si="6"/>
        <v>4.7263538736164179E-4</v>
      </c>
    </row>
    <row r="54" spans="1:9">
      <c r="A54" s="4">
        <f t="shared" si="2"/>
        <v>1998</v>
      </c>
      <c r="B54" s="7">
        <f t="shared" si="7"/>
        <v>2.4062310701395591</v>
      </c>
      <c r="C54" s="6">
        <f t="shared" si="0"/>
        <v>7.2139228159265156E-2</v>
      </c>
      <c r="D54" s="8">
        <f t="shared" si="3"/>
        <v>0.88190256646943344</v>
      </c>
      <c r="E54" s="8">
        <f t="shared" si="4"/>
        <v>0.80976333831016833</v>
      </c>
      <c r="F54" s="6">
        <f t="shared" si="8"/>
        <v>0.7985607556033083</v>
      </c>
      <c r="G54" s="6">
        <f t="shared" si="5"/>
        <v>4.5971401308997351E-4</v>
      </c>
      <c r="H54" s="6">
        <f t="shared" si="6"/>
        <v>5.1198214666223762E-3</v>
      </c>
      <c r="I54" s="1">
        <f t="shared" si="6"/>
        <v>4.5971401308997351E-4</v>
      </c>
    </row>
    <row r="55" spans="1:9">
      <c r="A55" s="4">
        <f t="shared" si="2"/>
        <v>1999</v>
      </c>
      <c r="B55" s="7">
        <f t="shared" si="7"/>
        <v>2.4182145215453352</v>
      </c>
      <c r="C55" s="6">
        <f t="shared" si="0"/>
        <v>7.2171489059835198E-2</v>
      </c>
      <c r="D55" s="8">
        <f t="shared" si="3"/>
        <v>0.88229695620349768</v>
      </c>
      <c r="E55" s="8">
        <f t="shared" si="4"/>
        <v>0.81012546714366251</v>
      </c>
      <c r="F55" s="6">
        <f t="shared" si="8"/>
        <v>0.7985607556033083</v>
      </c>
      <c r="G55" s="6">
        <f t="shared" si="5"/>
        <v>4.4720329553316063E-4</v>
      </c>
      <c r="H55" s="6">
        <f t="shared" si="6"/>
        <v>4.9801748279649782E-3</v>
      </c>
      <c r="I55" s="1">
        <f t="shared" si="6"/>
        <v>4.4720329553316063E-4</v>
      </c>
    </row>
    <row r="56" spans="1:9">
      <c r="A56" s="4">
        <f t="shared" si="2"/>
        <v>2000</v>
      </c>
      <c r="B56" s="7">
        <f t="shared" si="7"/>
        <v>2.429930647566537</v>
      </c>
      <c r="C56" s="6">
        <f t="shared" si="0"/>
        <v>7.2202889945395435E-2</v>
      </c>
      <c r="D56" s="8">
        <f t="shared" si="3"/>
        <v>0.88268083224807992</v>
      </c>
      <c r="E56" s="8">
        <f t="shared" si="4"/>
        <v>0.81047794230268444</v>
      </c>
      <c r="F56" s="6">
        <f t="shared" si="8"/>
        <v>0.7985607556033083</v>
      </c>
      <c r="G56" s="6">
        <f t="shared" si="5"/>
        <v>4.3508712331274957E-4</v>
      </c>
      <c r="H56" s="6">
        <f t="shared" si="6"/>
        <v>4.844948997210885E-3</v>
      </c>
      <c r="I56" s="1">
        <f t="shared" si="6"/>
        <v>4.3508712331274957E-4</v>
      </c>
    </row>
    <row r="57" spans="1:9">
      <c r="A57" s="4">
        <f t="shared" si="2"/>
        <v>2001</v>
      </c>
      <c r="B57" s="7">
        <f t="shared" si="7"/>
        <v>2.4413852713227691</v>
      </c>
      <c r="C57" s="6">
        <f t="shared" si="0"/>
        <v>7.2233457052054029E-2</v>
      </c>
      <c r="D57" s="8">
        <f t="shared" si="3"/>
        <v>0.88305451533978474</v>
      </c>
      <c r="E57" s="8">
        <f t="shared" si="4"/>
        <v>0.81082105828773066</v>
      </c>
      <c r="F57" s="6">
        <f t="shared" si="8"/>
        <v>0.7985607556033083</v>
      </c>
      <c r="G57" s="6">
        <f t="shared" si="5"/>
        <v>4.233501828210251E-4</v>
      </c>
      <c r="H57" s="6">
        <f t="shared" si="6"/>
        <v>4.7139714739197203E-3</v>
      </c>
      <c r="I57" s="1">
        <f t="shared" si="6"/>
        <v>4.233501828210251E-4</v>
      </c>
    </row>
    <row r="58" spans="1:9">
      <c r="A58" s="4">
        <f t="shared" si="2"/>
        <v>2002</v>
      </c>
      <c r="B58" s="7">
        <f t="shared" si="7"/>
        <v>2.452584096591754</v>
      </c>
      <c r="C58" s="6">
        <f t="shared" si="0"/>
        <v>7.2263215640684539E-2</v>
      </c>
      <c r="D58" s="8">
        <f t="shared" si="3"/>
        <v>0.88341831429296747</v>
      </c>
      <c r="E58" s="8">
        <f t="shared" si="4"/>
        <v>0.81115509865228297</v>
      </c>
      <c r="F58" s="6">
        <f t="shared" si="8"/>
        <v>0.7985607556033083</v>
      </c>
      <c r="G58" s="6">
        <f t="shared" si="5"/>
        <v>4.1197790947555823E-4</v>
      </c>
      <c r="H58" s="6">
        <f t="shared" si="6"/>
        <v>4.5870782463257598E-3</v>
      </c>
      <c r="I58" s="1">
        <f t="shared" si="6"/>
        <v>4.1197790947578028E-4</v>
      </c>
    </row>
    <row r="59" spans="1:9">
      <c r="A59" s="4">
        <f t="shared" si="2"/>
        <v>2003</v>
      </c>
      <c r="B59" s="7">
        <f t="shared" si="7"/>
        <v>2.4635327098176445</v>
      </c>
      <c r="C59" s="6">
        <f t="shared" si="0"/>
        <v>7.2292190042552801E-2</v>
      </c>
      <c r="D59" s="8">
        <f t="shared" si="3"/>
        <v>0.88377252655752248</v>
      </c>
      <c r="E59" s="8">
        <f t="shared" si="4"/>
        <v>0.81148033651496965</v>
      </c>
      <c r="F59" s="6">
        <f t="shared" si="8"/>
        <v>0.7985607556033083</v>
      </c>
      <c r="G59" s="6">
        <f t="shared" si="5"/>
        <v>4.0095644251891827E-4</v>
      </c>
      <c r="H59" s="6">
        <f t="shared" si="6"/>
        <v>4.4641132759137836E-3</v>
      </c>
      <c r="I59" s="1">
        <f t="shared" si="6"/>
        <v>4.0095644251891827E-4</v>
      </c>
    </row>
    <row r="60" spans="1:9">
      <c r="A60" s="4">
        <f t="shared" si="2"/>
        <v>2004</v>
      </c>
      <c r="B60" s="7">
        <f t="shared" si="7"/>
        <v>2.4742365821147563</v>
      </c>
      <c r="C60" s="6">
        <f t="shared" si="0"/>
        <v>7.232040370229538E-2</v>
      </c>
      <c r="D60" s="8">
        <f t="shared" si="3"/>
        <v>0.88411743874429471</v>
      </c>
      <c r="E60" s="8">
        <f t="shared" si="4"/>
        <v>0.81179703504199929</v>
      </c>
      <c r="F60" s="6">
        <f t="shared" si="8"/>
        <v>0.7985607556033083</v>
      </c>
      <c r="G60" s="6">
        <f t="shared" si="5"/>
        <v>3.9027258305446288E-4</v>
      </c>
      <c r="H60" s="6">
        <f t="shared" si="6"/>
        <v>4.3449280192038309E-3</v>
      </c>
      <c r="I60" s="1">
        <f t="shared" si="6"/>
        <v>3.9027258305446288E-4</v>
      </c>
    </row>
    <row r="61" spans="1:9">
      <c r="A61" s="4">
        <f t="shared" si="2"/>
        <v>2005</v>
      </c>
      <c r="B61" s="7">
        <f t="shared" si="7"/>
        <v>2.4847010712641828</v>
      </c>
      <c r="C61" s="6">
        <f t="shared" si="0"/>
        <v>7.2347879218433719E-2</v>
      </c>
      <c r="D61" s="8">
        <f t="shared" si="3"/>
        <v>0.88445332712036639</v>
      </c>
      <c r="E61" s="8">
        <f t="shared" si="4"/>
        <v>0.81210544790193273</v>
      </c>
      <c r="F61" s="6">
        <f t="shared" si="8"/>
        <v>0.7985607556033083</v>
      </c>
      <c r="G61" s="6">
        <f t="shared" si="5"/>
        <v>3.7991375506485348E-4</v>
      </c>
      <c r="H61" s="6">
        <f t="shared" si="6"/>
        <v>4.2293809836415619E-3</v>
      </c>
      <c r="I61" s="1">
        <f t="shared" si="6"/>
        <v>3.7991375506485348E-4</v>
      </c>
    </row>
    <row r="62" spans="1:9">
      <c r="A62" s="4">
        <f t="shared" si="2"/>
        <v>2006</v>
      </c>
      <c r="B62" s="7">
        <f t="shared" si="7"/>
        <v>2.4949314237010118</v>
      </c>
      <c r="C62" s="6">
        <f t="shared" si="0"/>
        <v>7.2374638381593109E-2</v>
      </c>
      <c r="D62" s="8">
        <f t="shared" si="3"/>
        <v>0.88478045807628314</v>
      </c>
      <c r="E62" s="8">
        <f t="shared" si="4"/>
        <v>0.81240581969469006</v>
      </c>
      <c r="F62" s="6">
        <f t="shared" si="8"/>
        <v>0.7985607556033083</v>
      </c>
      <c r="G62" s="6">
        <f t="shared" si="5"/>
        <v>3.6986796915772224E-4</v>
      </c>
      <c r="H62" s="6">
        <f t="shared" si="6"/>
        <v>4.1173373147957992E-3</v>
      </c>
      <c r="I62" s="1">
        <f t="shared" si="6"/>
        <v>3.6986796915772224E-4</v>
      </c>
    </row>
    <row r="63" spans="1:9">
      <c r="A63" s="4">
        <f t="shared" si="2"/>
        <v>2007</v>
      </c>
      <c r="B63" s="7">
        <f t="shared" si="7"/>
        <v>2.5049327764900799</v>
      </c>
      <c r="C63" s="6">
        <f t="shared" si="0"/>
        <v>7.2400702210581855E-2</v>
      </c>
      <c r="D63" s="8">
        <f t="shared" si="3"/>
        <v>0.88509908856712305</v>
      </c>
      <c r="E63" s="8">
        <f t="shared" si="4"/>
        <v>0.81269838635654124</v>
      </c>
      <c r="F63" s="6">
        <f t="shared" si="8"/>
        <v>0.7985607556033083</v>
      </c>
      <c r="G63" s="6">
        <f t="shared" si="5"/>
        <v>3.6012378882399609E-4</v>
      </c>
      <c r="H63" s="6">
        <f>B63/B62-1</f>
        <v>4.0086684123092908E-3</v>
      </c>
      <c r="I63" s="1">
        <f t="shared" si="6"/>
        <v>3.6012378882399609E-4</v>
      </c>
    </row>
    <row r="64" spans="1:9">
      <c r="A64" s="4">
        <f t="shared" si="2"/>
        <v>2008</v>
      </c>
      <c r="B64" s="7">
        <f t="shared" si="7"/>
        <v>2.5147101592884096</v>
      </c>
      <c r="C64" s="6">
        <f t="shared" si="0"/>
        <v>7.2426090986474317E-2</v>
      </c>
      <c r="D64" s="8">
        <f t="shared" si="3"/>
        <v>0.88540946652916119</v>
      </c>
      <c r="E64" s="8">
        <f t="shared" si="4"/>
        <v>0.81298337554268685</v>
      </c>
      <c r="F64" s="6">
        <f t="shared" si="8"/>
        <v>0.7985607556033083</v>
      </c>
      <c r="G64" s="6">
        <f t="shared" si="5"/>
        <v>3.5067029900637259E-4</v>
      </c>
      <c r="H64" s="6">
        <f t="shared" si="6"/>
        <v>3.9032515722956518E-3</v>
      </c>
      <c r="I64" s="1">
        <f t="shared" si="6"/>
        <v>3.5067029900637259E-4</v>
      </c>
    </row>
    <row r="65" spans="1:9">
      <c r="A65" s="4">
        <f t="shared" si="2"/>
        <v>2009</v>
      </c>
      <c r="B65" s="7">
        <f t="shared" si="7"/>
        <v>2.5242684962926738</v>
      </c>
      <c r="C65" s="6">
        <f t="shared" si="0"/>
        <v>7.2450824284830018E-2</v>
      </c>
      <c r="D65" s="8">
        <f t="shared" si="3"/>
        <v>0.88571183127374908</v>
      </c>
      <c r="E65" s="8">
        <f t="shared" si="4"/>
        <v>0.81326100698891901</v>
      </c>
      <c r="F65" s="6">
        <f t="shared" si="8"/>
        <v>0.7985607556033083</v>
      </c>
      <c r="G65" s="6">
        <f t="shared" si="5"/>
        <v>3.4149707679675956E-4</v>
      </c>
      <c r="H65" s="6">
        <f t="shared" si="6"/>
        <v>3.8009696540808324E-3</v>
      </c>
      <c r="I65" s="1">
        <f t="shared" si="6"/>
        <v>3.4149707679675956E-4</v>
      </c>
    </row>
    <row r="66" spans="1:9">
      <c r="A66" s="4">
        <f t="shared" si="2"/>
        <v>2010</v>
      </c>
      <c r="B66" s="7">
        <f t="shared" si="7"/>
        <v>2.5336126081701869</v>
      </c>
      <c r="C66" s="6">
        <f t="shared" si="0"/>
        <v>7.2474921006170701E-2</v>
      </c>
      <c r="D66" s="8">
        <f t="shared" si="3"/>
        <v>0.88600641385989665</v>
      </c>
      <c r="E66" s="8">
        <f t="shared" si="4"/>
        <v>0.81353149285372595</v>
      </c>
      <c r="F66" s="6">
        <f t="shared" si="8"/>
        <v>0.7985607556033083</v>
      </c>
      <c r="G66" s="6">
        <f t="shared" si="5"/>
        <v>3.3259416409059384E-4</v>
      </c>
      <c r="H66" s="6">
        <f t="shared" si="6"/>
        <v>3.7017107693719797E-3</v>
      </c>
      <c r="I66" s="1">
        <f t="shared" si="6"/>
        <v>3.3259416409059384E-4</v>
      </c>
    </row>
    <row r="67" spans="1:9">
      <c r="A67" s="4">
        <f t="shared" si="2"/>
        <v>2011</v>
      </c>
      <c r="B67" s="7">
        <f t="shared" si="7"/>
        <v>2.5427472139721026</v>
      </c>
      <c r="C67" s="6">
        <f t="shared" si="0"/>
        <v>7.2498399404828578E-2</v>
      </c>
      <c r="D67" s="8">
        <f t="shared" si="3"/>
        <v>0.88629343744694222</v>
      </c>
      <c r="E67" s="8">
        <f t="shared" si="4"/>
        <v>0.81379503804211362</v>
      </c>
      <c r="F67" s="6">
        <f t="shared" si="8"/>
        <v>0.7985607556033083</v>
      </c>
      <c r="G67" s="6">
        <f t="shared" si="5"/>
        <v>3.2395204205704076E-4</v>
      </c>
      <c r="H67" s="6">
        <f t="shared" si="6"/>
        <v>3.6053679921148607E-3</v>
      </c>
      <c r="I67" s="1">
        <f t="shared" si="6"/>
        <v>3.2395204205704076E-4</v>
      </c>
    </row>
    <row r="68" spans="1:9">
      <c r="A68" s="4">
        <f t="shared" si="2"/>
        <v>2012</v>
      </c>
      <c r="B68" s="7">
        <f t="shared" si="7"/>
        <v>2.5516769330276285</v>
      </c>
      <c r="C68" s="6">
        <f t="shared" si="0"/>
        <v>7.2521277116269725E-2</v>
      </c>
      <c r="D68" s="8">
        <f t="shared" si="3"/>
        <v>0.88657311762858149</v>
      </c>
      <c r="E68" s="8">
        <f t="shared" si="4"/>
        <v>0.81405184051231172</v>
      </c>
      <c r="F68" s="6">
        <f t="shared" si="8"/>
        <v>0.7985607556033083</v>
      </c>
      <c r="G68" s="6">
        <f t="shared" si="5"/>
        <v>3.1556160727630456E-4</v>
      </c>
      <c r="H68" s="6">
        <f t="shared" si="6"/>
        <v>3.5118390874477878E-3</v>
      </c>
      <c r="I68" s="1">
        <f t="shared" si="6"/>
        <v>3.1556160727630456E-4</v>
      </c>
    </row>
    <row r="69" spans="1:9">
      <c r="A69" s="4">
        <f t="shared" si="2"/>
        <v>2013</v>
      </c>
      <c r="B69" s="7">
        <f t="shared" si="7"/>
        <v>2.5604062868182074</v>
      </c>
      <c r="C69" s="6">
        <f t="shared" si="0"/>
        <v>7.25435711829895E-2</v>
      </c>
      <c r="D69" s="8">
        <f t="shared" si="3"/>
        <v>0.88684566274943866</v>
      </c>
      <c r="E69" s="8">
        <f t="shared" si="4"/>
        <v>0.81430209156644917</v>
      </c>
      <c r="F69" s="6">
        <f t="shared" si="8"/>
        <v>0.7985607556033083</v>
      </c>
      <c r="G69" s="6">
        <f t="shared" si="5"/>
        <v>3.0741414942303535E-4</v>
      </c>
      <c r="H69" s="6">
        <f t="shared" si="6"/>
        <v>3.4210262582972106E-3</v>
      </c>
      <c r="I69" s="1">
        <f t="shared" si="6"/>
        <v>3.0741414942303535E-4</v>
      </c>
    </row>
    <row r="70" spans="1:9">
      <c r="A70" s="4">
        <f t="shared" si="2"/>
        <v>2014</v>
      </c>
      <c r="B70" s="7">
        <f t="shared" si="7"/>
        <v>2.5689397008307413</v>
      </c>
      <c r="C70" s="6">
        <f t="shared" si="0"/>
        <v>7.2565298079069182E-2</v>
      </c>
      <c r="D70" s="8">
        <f t="shared" si="3"/>
        <v>0.88711127420527214</v>
      </c>
      <c r="E70" s="8">
        <f t="shared" si="4"/>
        <v>0.81454597612620294</v>
      </c>
      <c r="F70" s="6">
        <f t="shared" si="8"/>
        <v>0.7985607556033083</v>
      </c>
      <c r="G70" s="6">
        <f t="shared" si="5"/>
        <v>2.9950133037814908E-4</v>
      </c>
      <c r="H70" s="6">
        <f t="shared" si="6"/>
        <v>3.3328359082958059E-3</v>
      </c>
      <c r="I70" s="1">
        <f t="shared" si="6"/>
        <v>2.9950133037814908E-4</v>
      </c>
    </row>
    <row r="71" spans="1:9">
      <c r="A71" s="4">
        <f t="shared" si="2"/>
        <v>2015</v>
      </c>
      <c r="B71" s="7">
        <f t="shared" si="7"/>
        <v>2.5772815063890415</v>
      </c>
      <c r="C71" s="6">
        <f t="shared" si="0"/>
        <v>7.2586473733477333E-2</v>
      </c>
      <c r="D71" s="8">
        <f t="shared" si="3"/>
        <v>0.88737014672783354</v>
      </c>
      <c r="E71" s="8">
        <f t="shared" si="4"/>
        <v>0.81478367299435617</v>
      </c>
      <c r="F71" s="6">
        <f t="shared" si="8"/>
        <v>0.7985607556033083</v>
      </c>
      <c r="G71" s="6">
        <f t="shared" si="5"/>
        <v>2.9181516466847413E-4</v>
      </c>
      <c r="H71" s="6">
        <f t="shared" si="6"/>
        <v>3.2471784197980469E-3</v>
      </c>
      <c r="I71" s="1">
        <f t="shared" si="6"/>
        <v>2.9181516466825208E-4</v>
      </c>
    </row>
    <row r="72" spans="1:9">
      <c r="A72" s="4">
        <f t="shared" si="2"/>
        <v>2016</v>
      </c>
      <c r="B72" s="7">
        <f t="shared" si="7"/>
        <v>2.5854359424627926</v>
      </c>
      <c r="C72" s="6">
        <f t="shared" si="0"/>
        <v>7.2607113552192168E-2</v>
      </c>
      <c r="D72" s="8">
        <f t="shared" si="3"/>
        <v>0.88762246865531358</v>
      </c>
      <c r="E72" s="8">
        <f t="shared" si="4"/>
        <v>0.8150153551031214</v>
      </c>
      <c r="F72" s="6">
        <f t="shared" si="8"/>
        <v>0.7985607556033083</v>
      </c>
      <c r="G72" s="6">
        <f t="shared" si="5"/>
        <v>2.8434800112497882E-4</v>
      </c>
      <c r="H72" s="6">
        <f t="shared" si="6"/>
        <v>3.1639679458903558E-3</v>
      </c>
      <c r="I72" s="1">
        <f t="shared" si="6"/>
        <v>2.8434800112520087E-4</v>
      </c>
    </row>
    <row r="73" spans="1:9">
      <c r="A73" s="4">
        <f t="shared" si="2"/>
        <v>2017</v>
      </c>
      <c r="B73" s="7">
        <f t="shared" si="7"/>
        <v>2.5934071574534148</v>
      </c>
      <c r="C73" s="6">
        <f t="shared" si="0"/>
        <v>7.2627232439217121E-2</v>
      </c>
      <c r="D73" s="8">
        <f t="shared" si="3"/>
        <v>0.88786842218925843</v>
      </c>
      <c r="E73" s="8">
        <f t="shared" si="4"/>
        <v>0.81524118975004134</v>
      </c>
      <c r="F73" s="6">
        <f t="shared" si="8"/>
        <v>0.7985607556033083</v>
      </c>
      <c r="G73" s="6">
        <f t="shared" si="5"/>
        <v>2.7709250568830335E-4</v>
      </c>
      <c r="H73" s="6">
        <f t="shared" si="6"/>
        <v>3.0831222153695492E-3</v>
      </c>
      <c r="I73" s="1">
        <f t="shared" si="6"/>
        <v>2.770925056880813E-4</v>
      </c>
    </row>
    <row r="74" spans="1:9">
      <c r="A74" s="4">
        <f t="shared" si="2"/>
        <v>2018</v>
      </c>
      <c r="B74" s="7">
        <f t="shared" si="7"/>
        <v>2.6011992109562962</v>
      </c>
      <c r="C74" s="6">
        <f t="shared" si="0"/>
        <v>7.2646844816555811E-2</v>
      </c>
      <c r="D74" s="8">
        <f t="shared" si="3"/>
        <v>0.88810818363876221</v>
      </c>
      <c r="E74" s="8">
        <f t="shared" si="4"/>
        <v>0.81546133882220639</v>
      </c>
      <c r="F74" s="6">
        <f t="shared" si="8"/>
        <v>0.7985607556033083</v>
      </c>
      <c r="G74" s="6">
        <f t="shared" si="5"/>
        <v>2.7004164526145402E-4</v>
      </c>
      <c r="H74" s="6">
        <f t="shared" si="6"/>
        <v>3.0045623497596541E-3</v>
      </c>
      <c r="I74" s="1">
        <f t="shared" si="6"/>
        <v>2.7004164526167607E-4</v>
      </c>
    </row>
    <row r="75" spans="1:9">
      <c r="A75" s="4">
        <f t="shared" si="2"/>
        <v>2019</v>
      </c>
      <c r="B75" s="7">
        <f t="shared" si="7"/>
        <v>2.6088160754989449</v>
      </c>
      <c r="C75" s="6">
        <f t="shared" si="0"/>
        <v>7.2665964643208014E-2</v>
      </c>
      <c r="D75" s="8">
        <f t="shared" si="3"/>
        <v>0.88834192365269482</v>
      </c>
      <c r="E75" s="8">
        <f t="shared" si="4"/>
        <v>0.81567595900948686</v>
      </c>
      <c r="F75" s="6">
        <f t="shared" si="8"/>
        <v>0.7985607556033083</v>
      </c>
      <c r="G75" s="6">
        <f t="shared" si="5"/>
        <v>2.6318867254992995E-4</v>
      </c>
      <c r="H75" s="6">
        <f t="shared" si="6"/>
        <v>2.928212691502452E-3</v>
      </c>
      <c r="I75" s="1">
        <f t="shared" si="6"/>
        <v>2.6318867254992995E-4</v>
      </c>
    </row>
    <row r="76" spans="1:9">
      <c r="A76" s="4">
        <f t="shared" si="2"/>
        <v>2020</v>
      </c>
      <c r="B76" s="7">
        <f t="shared" si="7"/>
        <v>2.6162616382546795</v>
      </c>
      <c r="C76" s="6">
        <f t="shared" si="0"/>
        <v>7.2684605433244828E-2</v>
      </c>
      <c r="D76" s="8">
        <f t="shared" si="3"/>
        <v>0.88856980744066916</v>
      </c>
      <c r="E76" s="8">
        <f t="shared" si="4"/>
        <v>0.81588520200742431</v>
      </c>
      <c r="F76" s="6">
        <f t="shared" si="8"/>
        <v>0.7985607556033083</v>
      </c>
      <c r="G76" s="6">
        <f t="shared" si="5"/>
        <v>2.5652711181001209E-4</v>
      </c>
      <c r="H76" s="6">
        <f t="shared" si="6"/>
        <v>2.8540006425368247E-3</v>
      </c>
      <c r="I76" s="1">
        <f t="shared" si="6"/>
        <v>2.5652711181001209E-4</v>
      </c>
    </row>
    <row r="77" spans="1:9">
      <c r="A77" s="4">
        <f t="shared" si="2"/>
        <v>2021</v>
      </c>
      <c r="B77" s="7">
        <f t="shared" si="7"/>
        <v>2.623539702731557</v>
      </c>
      <c r="C77" s="6">
        <f t="shared" si="0"/>
        <v>7.2702780273015938E-2</v>
      </c>
      <c r="D77" s="8">
        <f t="shared" si="3"/>
        <v>0.88879199498340156</v>
      </c>
      <c r="E77" s="8">
        <f t="shared" si="4"/>
        <v>0.81608921471038565</v>
      </c>
      <c r="F77" s="6">
        <f t="shared" si="8"/>
        <v>0.7985607556033083</v>
      </c>
      <c r="G77" s="6">
        <f t="shared" si="5"/>
        <v>2.5005074544726114E-4</v>
      </c>
      <c r="H77" s="6">
        <f t="shared" si="6"/>
        <v>2.7818565125361516E-3</v>
      </c>
      <c r="I77" s="1">
        <f t="shared" si="6"/>
        <v>2.5005074544703909E-4</v>
      </c>
    </row>
    <row r="78" spans="1:9">
      <c r="A78" s="4">
        <f t="shared" si="2"/>
        <v>2022</v>
      </c>
      <c r="B78" s="7">
        <f t="shared" si="7"/>
        <v>2.6306539904362842</v>
      </c>
      <c r="C78" s="6">
        <f t="shared" si="0"/>
        <v>7.2720501837539628E-2</v>
      </c>
      <c r="D78" s="8">
        <f t="shared" si="3"/>
        <v>0.88900864123307854</v>
      </c>
      <c r="E78" s="8">
        <f t="shared" si="4"/>
        <v>0.8162881393955389</v>
      </c>
      <c r="F78" s="6">
        <f t="shared" si="8"/>
        <v>0.7985607556033083</v>
      </c>
      <c r="G78" s="6">
        <f t="shared" si="5"/>
        <v>2.4375360140482805E-4</v>
      </c>
      <c r="H78" s="6">
        <f t="shared" si="6"/>
        <v>2.7117133761382917E-3</v>
      </c>
      <c r="I78" s="1">
        <f t="shared" si="6"/>
        <v>2.4375360140482805E-4</v>
      </c>
    </row>
    <row r="79" spans="1:9">
      <c r="A79" s="4">
        <f t="shared" si="2"/>
        <v>2023</v>
      </c>
      <c r="B79" s="7">
        <f t="shared" si="7"/>
        <v>2.6376081425129163</v>
      </c>
      <c r="C79" s="6">
        <f t="shared" si="0"/>
        <v>7.273778240612172E-2</v>
      </c>
      <c r="D79" s="8">
        <f t="shared" si="3"/>
        <v>0.88921989630429932</v>
      </c>
      <c r="E79" s="8">
        <f t="shared" si="4"/>
        <v>0.8164821138981776</v>
      </c>
      <c r="F79" s="6">
        <f t="shared" si="8"/>
        <v>0.7985607556033083</v>
      </c>
      <c r="G79" s="6">
        <f t="shared" si="5"/>
        <v>2.3762994128806447E-4</v>
      </c>
      <c r="H79" s="6">
        <f t="shared" si="6"/>
        <v>2.6435069385459808E-3</v>
      </c>
      <c r="I79" s="1">
        <f t="shared" si="6"/>
        <v>2.3762994128806447E-4</v>
      </c>
    </row>
    <row r="80" spans="1:9">
      <c r="A80" s="4">
        <f t="shared" si="2"/>
        <v>2024</v>
      </c>
      <c r="B80" s="7">
        <f t="shared" si="7"/>
        <v>2.6444057213562151</v>
      </c>
      <c r="C80" s="6">
        <f t="shared" si="0"/>
        <v>7.2754633877247302E-2</v>
      </c>
      <c r="D80" s="8">
        <f t="shared" si="3"/>
        <v>0.88942590565612689</v>
      </c>
      <c r="E80" s="8">
        <f t="shared" si="4"/>
        <v>0.81667127177887955</v>
      </c>
      <c r="F80" s="6">
        <f t="shared" si="8"/>
        <v>0.7985607556033083</v>
      </c>
      <c r="G80" s="6">
        <f t="shared" si="5"/>
        <v>2.3167424917480695E-4</v>
      </c>
      <c r="H80" s="6">
        <f t="shared" si="6"/>
        <v>2.5771754089378707E-3</v>
      </c>
      <c r="I80" s="1">
        <f t="shared" si="6"/>
        <v>2.3167424917480695E-4</v>
      </c>
    </row>
    <row r="81" spans="1:9">
      <c r="A81" s="4">
        <f t="shared" si="2"/>
        <v>2025</v>
      </c>
      <c r="B81" s="7">
        <f t="shared" si="7"/>
        <v>2.6510502121995572</v>
      </c>
      <c r="C81" s="6">
        <f t="shared" ref="C81:C90" si="9">$F$11*D81</f>
        <v>7.2771067782785651E-2</v>
      </c>
      <c r="D81" s="8">
        <f t="shared" si="3"/>
        <v>0.88962681026574364</v>
      </c>
      <c r="E81" s="8">
        <f t="shared" si="4"/>
        <v>0.816855742482958</v>
      </c>
      <c r="F81" s="6">
        <f t="shared" si="8"/>
        <v>0.7985607556033083</v>
      </c>
      <c r="G81" s="6">
        <f t="shared" si="5"/>
        <v>2.2588122106537156E-4</v>
      </c>
      <c r="H81" s="6">
        <f t="shared" si="6"/>
        <v>2.5126593811537479E-3</v>
      </c>
      <c r="I81" s="1">
        <f t="shared" si="6"/>
        <v>2.2588122106537156E-4</v>
      </c>
    </row>
    <row r="82" spans="1:9">
      <c r="A82" s="4">
        <f t="shared" ref="A82:A90" si="10">A81+1</f>
        <v>2026</v>
      </c>
      <c r="B82" s="7">
        <f t="shared" si="7"/>
        <v>2.6575450246773538</v>
      </c>
      <c r="C82" s="6">
        <f t="shared" si="9"/>
        <v>7.278709530154677E-2</v>
      </c>
      <c r="D82" s="8">
        <f t="shared" ref="D82:D90" si="11">$C$8*B82^(1-$C$7)*F81^($C$7)</f>
        <v>0.8898227467941795</v>
      </c>
      <c r="E82" s="8">
        <f t="shared" ref="E82:E91" si="12">D82-C82</f>
        <v>0.81703565149263269</v>
      </c>
      <c r="F82" s="6">
        <f t="shared" si="8"/>
        <v>0.7985607556033083</v>
      </c>
      <c r="G82" s="6">
        <f t="shared" ref="G82:G90" si="13">D82/D81-1</f>
        <v>2.2024575493317933E-4</v>
      </c>
      <c r="H82" s="6">
        <f t="shared" ref="H82:I90" si="14">B82/B81-1</f>
        <v>2.4499017211778717E-3</v>
      </c>
      <c r="I82" s="1">
        <f t="shared" si="14"/>
        <v>2.2024575493317933E-4</v>
      </c>
    </row>
    <row r="83" spans="1:9">
      <c r="A83" s="4">
        <f t="shared" si="10"/>
        <v>2027</v>
      </c>
      <c r="B83" s="7">
        <f t="shared" ref="B83:B90" si="15">(1-$C$4)*B82+C82</f>
        <v>2.6638934943619663</v>
      </c>
      <c r="C83" s="6">
        <f t="shared" si="9"/>
        <v>7.2802727272224754E-2</v>
      </c>
      <c r="D83" s="8">
        <f t="shared" si="11"/>
        <v>0.89001384774454517</v>
      </c>
      <c r="E83" s="8">
        <f t="shared" si="12"/>
        <v>0.81721112047232047</v>
      </c>
      <c r="F83" s="6">
        <f t="shared" si="8"/>
        <v>0.7985607556033083</v>
      </c>
      <c r="G83" s="6">
        <f t="shared" si="13"/>
        <v>2.1476294133204732E-4</v>
      </c>
      <c r="H83" s="6">
        <f t="shared" si="14"/>
        <v>2.3888474609694565E-3</v>
      </c>
      <c r="I83" s="1">
        <f t="shared" si="14"/>
        <v>2.1476294133226936E-4</v>
      </c>
    </row>
    <row r="84" spans="1:9">
      <c r="A84" s="4">
        <f t="shared" si="10"/>
        <v>2028</v>
      </c>
      <c r="B84" s="7">
        <f t="shared" si="15"/>
        <v>2.6700988842751419</v>
      </c>
      <c r="C84" s="6">
        <f t="shared" si="9"/>
        <v>7.281797420576136E-2</v>
      </c>
      <c r="D84" s="8">
        <f t="shared" si="11"/>
        <v>0.89020024161317701</v>
      </c>
      <c r="E84" s="8">
        <f t="shared" si="12"/>
        <v>0.8173822674074156</v>
      </c>
      <c r="F84" s="6">
        <f t="shared" si="8"/>
        <v>0.7985607556033083</v>
      </c>
      <c r="G84" s="6">
        <f t="shared" si="13"/>
        <v>2.0942805452328628E-4</v>
      </c>
      <c r="H84" s="6">
        <f t="shared" si="14"/>
        <v>2.3294436982217448E-3</v>
      </c>
      <c r="I84" s="1">
        <f t="shared" si="14"/>
        <v>2.0942805452328628E-4</v>
      </c>
    </row>
    <row r="85" spans="1:9">
      <c r="A85" s="4">
        <f t="shared" si="10"/>
        <v>2029</v>
      </c>
      <c r="B85" s="7">
        <f t="shared" si="15"/>
        <v>2.6761643863740248</v>
      </c>
      <c r="C85" s="6">
        <f t="shared" si="9"/>
        <v>7.2832846297161358E-2</v>
      </c>
      <c r="D85" s="8">
        <f t="shared" si="11"/>
        <v>0.89038205303407925</v>
      </c>
      <c r="E85" s="8">
        <f t="shared" si="12"/>
        <v>0.81754920673691789</v>
      </c>
      <c r="F85" s="6">
        <f t="shared" si="8"/>
        <v>0.7985607556033083</v>
      </c>
      <c r="G85" s="6">
        <f t="shared" si="13"/>
        <v>2.0423654409795766E-4</v>
      </c>
      <c r="H85" s="6">
        <f t="shared" si="14"/>
        <v>2.2716395016695312E-3</v>
      </c>
      <c r="I85" s="1">
        <f t="shared" si="14"/>
        <v>2.0423654409795766E-4</v>
      </c>
    </row>
    <row r="86" spans="1:9">
      <c r="A86" s="4">
        <f t="shared" si="10"/>
        <v>2030</v>
      </c>
      <c r="B86" s="7">
        <f t="shared" si="15"/>
        <v>2.6820931230118354</v>
      </c>
      <c r="C86" s="6">
        <f t="shared" si="9"/>
        <v>7.2847353436788359E-2</v>
      </c>
      <c r="D86" s="8">
        <f t="shared" si="11"/>
        <v>0.89055940291701585</v>
      </c>
      <c r="E86" s="8">
        <f t="shared" si="12"/>
        <v>0.81771204948022747</v>
      </c>
      <c r="F86" s="6">
        <f t="shared" si="8"/>
        <v>0.7985607556033083</v>
      </c>
      <c r="G86" s="6">
        <f t="shared" si="13"/>
        <v>1.9918402705032534E-4</v>
      </c>
      <c r="H86" s="6">
        <f t="shared" si="14"/>
        <v>2.2153858215876454E-3</v>
      </c>
      <c r="I86" s="1">
        <f t="shared" si="14"/>
        <v>1.9918402705032534E-4</v>
      </c>
    </row>
    <row r="87" spans="1:9">
      <c r="A87" s="4">
        <f t="shared" si="10"/>
        <v>2031</v>
      </c>
      <c r="B87" s="7">
        <f t="shared" si="15"/>
        <v>2.6878881483733275</v>
      </c>
      <c r="C87" s="6">
        <f t="shared" si="9"/>
        <v>7.2861505221168868E-2</v>
      </c>
      <c r="D87" s="8">
        <f t="shared" si="11"/>
        <v>0.89073240857959013</v>
      </c>
      <c r="E87" s="8">
        <f t="shared" si="12"/>
        <v>0.81787090335842128</v>
      </c>
      <c r="F87" s="6">
        <f t="shared" si="8"/>
        <v>0.7985607556033083</v>
      </c>
      <c r="G87" s="6">
        <f t="shared" si="13"/>
        <v>1.9426628028140769E-4</v>
      </c>
      <c r="H87" s="6">
        <f t="shared" si="14"/>
        <v>2.1606354051513232E-3</v>
      </c>
      <c r="I87" s="1">
        <f t="shared" si="14"/>
        <v>1.9426628028140769E-4</v>
      </c>
    </row>
    <row r="88" spans="1:9">
      <c r="A88" s="4">
        <f t="shared" si="10"/>
        <v>2032</v>
      </c>
      <c r="B88" s="7">
        <f t="shared" si="15"/>
        <v>2.6935524498851633</v>
      </c>
      <c r="C88" s="6">
        <f t="shared" si="9"/>
        <v>7.2875310963330261E-2</v>
      </c>
      <c r="D88" s="8">
        <f t="shared" si="11"/>
        <v>0.89090118387362671</v>
      </c>
      <c r="E88" s="8">
        <f t="shared" si="12"/>
        <v>0.81802587291029649</v>
      </c>
      <c r="F88" s="6">
        <f t="shared" si="8"/>
        <v>0.7985607556033083</v>
      </c>
      <c r="G88" s="6">
        <f t="shared" si="13"/>
        <v>1.8947923350598472E-4</v>
      </c>
      <c r="H88" s="6">
        <f t="shared" si="14"/>
        <v>2.1073427163491587E-3</v>
      </c>
      <c r="I88" s="1">
        <f t="shared" si="14"/>
        <v>1.8947923350598472E-4</v>
      </c>
    </row>
    <row r="89" spans="1:9">
      <c r="A89" s="4">
        <f t="shared" si="10"/>
        <v>2033</v>
      </c>
      <c r="B89" s="7">
        <f t="shared" si="15"/>
        <v>2.6990889496013648</v>
      </c>
      <c r="C89" s="6">
        <f t="shared" si="9"/>
        <v>7.2888779702696888E-2</v>
      </c>
      <c r="D89" s="8">
        <f t="shared" si="11"/>
        <v>0.89106583930615113</v>
      </c>
      <c r="E89" s="8">
        <f t="shared" si="12"/>
        <v>0.81817705960345422</v>
      </c>
      <c r="F89" s="6">
        <f t="shared" ref="F89:F90" si="16">F80</f>
        <v>0.7985607556033083</v>
      </c>
      <c r="G89" s="6">
        <f t="shared" si="13"/>
        <v>1.8481896253463859E-4</v>
      </c>
      <c r="H89" s="6">
        <f t="shared" si="14"/>
        <v>2.0554638601664177E-3</v>
      </c>
      <c r="I89" s="1">
        <f t="shared" si="14"/>
        <v>1.8481896253463859E-4</v>
      </c>
    </row>
    <row r="90" spans="1:9">
      <c r="A90" s="4">
        <f t="shared" si="10"/>
        <v>2034</v>
      </c>
      <c r="B90" s="7">
        <f t="shared" si="15"/>
        <v>2.7045005055640274</v>
      </c>
      <c r="C90" s="6">
        <f t="shared" si="9"/>
        <v>7.290192021456679E-2</v>
      </c>
      <c r="D90" s="8">
        <f t="shared" si="11"/>
        <v>0.89122648215524292</v>
      </c>
      <c r="E90" s="8">
        <f t="shared" si="12"/>
        <v>0.81832456194067615</v>
      </c>
      <c r="F90" s="6">
        <f t="shared" si="16"/>
        <v>0.7985607556033083</v>
      </c>
      <c r="G90" s="6">
        <f t="shared" si="13"/>
        <v>1.8028168290773472E-4</v>
      </c>
      <c r="H90" s="6">
        <f t="shared" si="14"/>
        <v>2.0049565107744804E-3</v>
      </c>
      <c r="I90" s="1">
        <f t="shared" si="14"/>
        <v>1.8028168290795676E-4</v>
      </c>
    </row>
  </sheetData>
  <mergeCells count="4">
    <mergeCell ref="A1:N1"/>
    <mergeCell ref="B3:C3"/>
    <mergeCell ref="E3:F3"/>
    <mergeCell ref="A14:H1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calibration</vt:lpstr>
      <vt:lpstr>shock1</vt:lpstr>
      <vt:lpstr>shock2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Aula 70</dc:creator>
  <cp:lastModifiedBy>Luis Chávez Granados</cp:lastModifiedBy>
  <dcterms:created xsi:type="dcterms:W3CDTF">2025-09-27T00:01:54Z</dcterms:created>
  <dcterms:modified xsi:type="dcterms:W3CDTF">2025-09-30T05:23:57Z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ef25e72f179e4d029c5231b43222a860</vt:lpwstr>
  </property>
</Properties>
</file>